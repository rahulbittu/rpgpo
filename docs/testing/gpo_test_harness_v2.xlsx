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2bb3fdc8b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94ce3f43c24249"/>
    <x:sheet xmlns:r="http://schemas.openxmlformats.org/officeDocument/2006/relationships" name="Harness V2" sheetId="2" r:id="R0ddc0d5186a341f4"/>
    <x:sheet xmlns:r="http://schemas.openxmlformats.org/officeDocument/2006/relationships" name="Engine Summary V2" sheetId="3" r:id="R6ac5244ffa3a4ef0"/>
    <x:sheet xmlns:r="http://schemas.openxmlformats.org/officeDocument/2006/relationships" name="Schema" sheetId="4" r:id="R660d731189094018"/>
    <x:sheet xmlns:r="http://schemas.openxmlformats.org/officeDocument/2006/relationships" name="Top 90 Execution" sheetId="5" r:id="R95fac0968fbe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5"/>
      <x:color rgb="00FFFFFF"/>
    </x:font>
    <x:font>
      <x:b/>
    </x:font>
    <x:font>
      <x:b/>
      <x:color rgb="00FFFFFF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0F7FA"/>
      </x:patternFill>
    </x:fill>
    <x:fill>
      <x:patternFill patternType="solid">
        <x:fgColor rgb="00E8F5E9"/>
      </x:patternFill>
    </x:fill>
    <x:fill>
      <x:patternFill patternType="solid">
        <x:fgColor rgb="00F3F4F6"/>
      </x:patternFill>
    </x:fill>
    <x:fill>
      <x:patternFill patternType="solid">
        <x:fgColor rgb="00FFF3E0"/>
      </x:patternFill>
    </x:fill>
    <x:fill>
      <x:patternFill patternType="solid">
        <x:fgColor rgb="00F3E5F5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/>
    <x:xf numFmtId="0" fontId="2" fillId="3" borderId="0" xfId="0"/>
    <x:xf numFmtId="0" fontId="0" fillId="0" borderId="0" xfId="0" applyAlignment="1">
      <x:alignment wrapText="1"/>
    </x:xf>
    <x:xf numFmtId="0" fontId="3" fillId="2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4" borderId="1" xfId="0" applyAlignment="1">
      <x:alignment horizontal="center" vertical="top"/>
    </x:xf>
    <x:xf numFmtId="0" fontId="0" fillId="5" borderId="1" xfId="0" applyAlignment="1">
      <x:alignment horizontal="center" vertical="top"/>
    </x:xf>
    <x:xf numFmtId="0" fontId="0" fillId="6" borderId="1" xfId="0" applyAlignment="1">
      <x:alignment vertical="top" wrapText="1"/>
    </x:xf>
    <x:xf numFmtId="0" fontId="0" fillId="7" borderId="1" xfId="0" applyAlignment="1">
      <x:alignment vertical="top" wrapText="1"/>
    </x:xf>
    <x:xf numFmtId="0" fontId="0" fillId="0" borderId="1" xfId="0" applyAlignment="1">
      <x:alignment horizontal="center" vertical="top"/>
    </x:xf>
    <x:xf numFmtId="0" fontId="0" fillId="8" borderId="0" xfId="0" applyAlignment="1">
      <x:alignment horizontal="center" vertical="top"/>
    </x:xf>
    <x:xf numFmtId="0" fontId="0" fillId="4" borderId="0" xfId="0" applyAlignment="1">
      <x:alignment horizontal="center" vertical="top"/>
    </x:xf>
    <x:xf numFmtId="0" fontId="0" fillId="7" borderId="0" xfId="0"/>
    <x:xf numFmtId="0" fontId="3" fillId="2" borderId="0" xfId="0" applyAlignment="1">
      <x:alignment horizontal="center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3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5808d2cea42dd" /><Relationship Type="http://schemas.openxmlformats.org/officeDocument/2006/relationships/theme" Target="/xl/theme/theme1.xml" Id="R4f5cbf4926994395" /><Relationship Type="http://schemas.openxmlformats.org/officeDocument/2006/relationships/sharedStrings" Target="/xl/sharedStrings.xml" Id="Rddbb332f54564a8f" /><Relationship Type="http://schemas.openxmlformats.org/officeDocument/2006/relationships/worksheet" Target="/xl/worksheets/sheet1.xml" Id="R6c94ce3f43c24249" /><Relationship Type="http://schemas.openxmlformats.org/officeDocument/2006/relationships/worksheet" Target="/xl/worksheets/sheet2.xml" Id="R0ddc0d5186a341f4" /><Relationship Type="http://schemas.openxmlformats.org/officeDocument/2006/relationships/worksheet" Target="/xl/worksheets/sheet3.xml" Id="R6ac5244ffa3a4ef0" /><Relationship Type="http://schemas.openxmlformats.org/officeDocument/2006/relationships/worksheet" Target="/xl/worksheets/sheet4.xml" Id="R660d731189094018" /><Relationship Type="http://schemas.openxmlformats.org/officeDocument/2006/relationships/worksheet" Target="/xl/worksheets/sheet5.xml" Id="R95fac0968fbe4985" /></Relationships>
</file>

<file path=xl/tables/table1.xml><?xml version="1.0" encoding="utf-8"?>
<x:table xmlns:x="http://schemas.openxmlformats.org/spreadsheetml/2006/main" id="1" name="HarnessV2Table" displayName="HarnessV2Table" ref="A4:AH364" headerRowCount="1">
  <x:autoFilter ref="A4:AH364"/>
  <x:tableColumns count="34">
    <x:tableColumn id="1" name="Test Case ID"/>
    <x:tableColumn id="2" name="Global Rank"/>
    <x:tableColumn id="3" name="Engine"/>
    <x:tableColumn id="4" name="Category"/>
    <x:tableColumn id="5" name="Set"/>
    <x:tableColumn id="6" name="Engine Q#"/>
    <x:tableColumn id="7" name="Test Question"/>
    <x:tableColumn id="8" name="User Demand Score"/>
    <x:tableColumn id="9" name="Est Audience %"/>
    <x:tableColumn id="10" name="Achievability Score"/>
    <x:tableColumn id="11" name="Business Value Score"/>
    <x:tableColumn id="12" name="Current GPO Status"/>
    <x:tableColumn id="13" name="Blocking Layer"/>
    <x:tableColumn id="14" name="Required Capabilities"/>
    <x:tableColumn id="15" name="Needs Web"/>
    <x:tableColumn id="16" name="Needs Memory"/>
    <x:tableColumn id="17" name="Needs Tooling"/>
    <x:tableColumn id="18" name="Needs Multi-Agent"/>
    <x:tableColumn id="19" name="Needs Approval"/>
    <x:tableColumn id="20" name="Provider Preference"/>
    <x:tableColumn id="21" name="Difficulty"/>
    <x:tableColumn id="22" name="Difficulty Score"/>
    <x:tableColumn id="23" name="Test Method"/>
    <x:tableColumn id="24" name="Expected Output Type"/>
    <x:tableColumn id="25" name="Pass Criteria"/>
    <x:tableColumn id="26" name="Failure Signal"/>
    <x:tableColumn id="27" name="Suggested Fix Type"/>
    <x:tableColumn id="28" name="Notes"/>
    <x:tableColumn id="29" name="Evidence Basis"/>
    <x:tableColumn id="30" name="Source Basis"/>
    <x:tableColumn id="31" name="Dependency Load"/>
    <x:tableColumn id="32" name="Execution Focus %"/>
    <x:tableColumn id="33" name="Recommended Batch"/>
    <x:tableColumn id="34" name="Evidence/Result Link"/>
  </x:tableColumns>
  <x:tableStyleInfo name="TableStyleMedium9" showRowStripes="1"/>
</x:table>
</file>

<file path=xl/tables/table2.xml><?xml version="1.0" encoding="utf-8"?>
<x:table xmlns:x="http://schemas.openxmlformats.org/spreadsheetml/2006/main" id="2" name="EngineSummaryV2Table" displayName="EngineSummaryV2Table" ref="A3:J18" headerRowCount="1">
  <x:autoFilter ref="A3:J18"/>
  <x:tableColumns count="10">
    <x:tableColumn id="1" name="Rank"/>
    <x:tableColumn id="2" name="Engine"/>
    <x:tableColumn id="3" name="Category"/>
    <x:tableColumn id="4" name="Cases"/>
    <x:tableColumn id="5" name="Stretch Cases"/>
    <x:tableColumn id="6" name="Demand %"/>
    <x:tableColumn id="7" name="Achievability %"/>
    <x:tableColumn id="8" name="Avg Focus %"/>
    <x:tableColumn id="9" name="Primary Dependencies"/>
    <x:tableColumn id="10" name="Provider Bias"/>
  </x:tableColumns>
  <x:tableStyleInfo name="TableStyleMedium2" showRowStripes="1"/>
</x:table>
</file>

<file path=xl/tables/table3.xml><?xml version="1.0" encoding="utf-8"?>
<x:table xmlns:x="http://schemas.openxmlformats.org/spreadsheetml/2006/main" id="3" name="SchemaTable" displayName="SchemaTable" ref="A3:D33" headerRowCount="1">
  <x:autoFilter ref="A3:D33"/>
  <x:tableColumns count="4">
    <x:tableColumn id="1" name="Field"/>
    <x:tableColumn id="2" name="Type"/>
    <x:tableColumn id="3" name="Description"/>
    <x:tableColumn id="4" name="Example"/>
  </x:tableColumns>
  <x:tableStyleInfo name="TableStyleMedium4" showRowStripes="1"/>
</x:table>
</file>

<file path=xl/tables/table4.xml><?xml version="1.0" encoding="utf-8"?>
<x:table xmlns:x="http://schemas.openxmlformats.org/spreadsheetml/2006/main" id="4" name="Top90Table" displayName="Top90Table" ref="A3:J93" headerRowCount="1">
  <x:autoFilter ref="A3:J93"/>
  <x:tableColumns count="10">
    <x:tableColumn id="1" name="Rank"/>
    <x:tableColumn id="2" name="Test Case ID"/>
    <x:tableColumn id="3" name="Engine"/>
    <x:tableColumn id="4" name="Set"/>
    <x:tableColumn id="5" name="Question"/>
    <x:tableColumn id="6" name="Demand"/>
    <x:tableColumn id="7" name="Achievability"/>
    <x:tableColumn id="8" name="Difficulty"/>
    <x:tableColumn id="9" name="Focus %"/>
    <x:tableColumn id="10" name="Recommended Batch"/>
  </x:tableColumns>
  <x:tableStyleInfo name="TableStyleMedium6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dc515a89f44c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fad766b68b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42804ceac143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74ab7968ab465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80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24" customHeight="1">
      <x:c r="A1" s="1" t="inlineStr">
        <x:is>
          <x:t xml:space="preserve">GPO Test Harness V2</x:t>
        </x:is>
      </x:c>
    </x:row>
    <x:row r="2" ht="24" customHeight="1"/>
    <x:row r="3" ht="24" customHeight="1">
      <x:c r="A3" s="2" t="inlineStr">
        <x:is>
          <x:t xml:space="preserve">Purpose</x:t>
        </x:is>
      </x:c>
      <x:c r="B3" s="3" t="inlineStr">
        <x:is>
          <x:t xml:space="preserve">This V2 workbook converts the question bank into an execution harness for Claude/ChatGPT-led product validation.</x:t>
        </x:is>
      </x:c>
    </x:row>
    <x:row r="4" ht="24" customHeight="1">
      <x:c r="A4" s="2" t="inlineStr">
        <x:is>
          <x:t xml:space="preserve">Scope</x:t>
        </x:is>
      </x:c>
      <x:c r="B4" s="3" t="inlineStr">
        <x:is>
          <x:t xml:space="preserve">360 total cases: 300 original cases plus 60 stretch cases (4 extra per engine).</x:t>
        </x:is>
      </x:c>
    </x:row>
    <x:row r="5" ht="24" customHeight="1">
      <x:c r="A5" s="2" t="inlineStr">
        <x:is>
          <x:t xml:space="preserve">How to use</x:t>
        </x:is>
      </x:c>
      <x:c r="B5" s="3" t="inlineStr">
        <x:is>
          <x:t xml:space="preserve">1) Sort/filter by Recommended Batch. 2) Execute highest-batch/highest-focus cases first. 3) Update Current GPO Status and Blocking Layer. 4) Add notes and links to evidence. 5) Use failures to justify targeted development only.</x:t>
        </x:is>
      </x:c>
    </x:row>
    <x:row r="6" ht="24" customHeight="1">
      <x:c r="A6" s="2" t="inlineStr">
        <x:is>
          <x:t xml:space="preserve">Status options</x:t>
        </x:is>
      </x:c>
      <x:c r="B6" s="3" t="inlineStr">
        <x:is>
          <x:t xml:space="preserve">UNTESTED, PASS, PARTIAL, FAIL, BLOCKED_PROVIDER, BLOCKED_UX, BLOCKED_MEMORY, BLOCKED_GOVERNANCE, BLOCKED_TOOLING, BLOCKED_ROUTING</x:t>
        </x:is>
      </x:c>
    </x:row>
    <x:row r="7" ht="24" customHeight="1">
      <x:c r="A7" s="2" t="inlineStr">
        <x:is>
          <x:t xml:space="preserve">Blocking layer examples</x:t>
        </x:is>
      </x:c>
      <x:c r="B7" s="3" t="inlineStr">
        <x:is>
          <x:t xml:space="preserve">routing, handoff, memory, provider, tooling, UX, governance, output-format, data-source, safety</x:t>
        </x:is>
      </x:c>
    </x:row>
    <x:row r="8" ht="24" customHeight="1">
      <x:c r="A8" s="2" t="inlineStr">
        <x:is>
          <x:t xml:space="preserve">Formula columns</x:t>
        </x:is>
      </x:c>
      <x:c r="B8" s="3" t="inlineStr">
        <x:is>
          <x:t xml:space="preserve">Dependency Load, Execution Focus %, and Recommended Batch are derived with spreadsheet formulas.</x:t>
        </x:is>
      </x:c>
    </x:row>
    <x:row r="9" ht="24" customHeight="1">
      <x:c r="A9" s="2" t="inlineStr">
        <x:is>
          <x:t xml:space="preserve">Files delivered</x:t>
        </x:is>
      </x:c>
      <x:c r="B9" s="3" t="inlineStr">
        <x:is>
          <x:t xml:space="preserve">This package includes XLSX, CSV, normalized JSON, and a JSON schema.</x:t>
        </x:is>
      </x:c>
    </x:row>
  </x:sheetData>
  <x:mergeCells>
    <x:mergeCell ref="B4:F4"/>
    <x:mergeCell ref="B7:F7"/>
    <x:mergeCell ref="B6:F6"/>
    <x:mergeCell ref="A1:F1"/>
    <x:mergeCell ref="B3:F3"/>
    <x:mergeCell ref="B5:F5"/>
    <x:mergeCell ref="B8:F8"/>
    <x:mergeCell ref="B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0" customWidth="1"/>
    <x:col min="3" max="3" width="28" customWidth="1"/>
    <x:col min="4" max="4" width="12" customWidth="1"/>
    <x:col min="5" max="5" width="14" customWidth="1"/>
    <x:col min="6" max="6" width="10" customWidth="1"/>
    <x:col min="7" max="7" width="75" customWidth="1"/>
    <x:col min="8" max="8" width="14" customWidth="1"/>
    <x:col min="9" max="9" width="14" customWidth="1"/>
    <x:col min="10" max="10" width="16" customWidth="1"/>
    <x:col min="11" max="11" width="16" customWidth="1"/>
    <x:col min="12" max="12" width="16" customWidth="1"/>
    <x:col min="13" max="13" width="18" customWidth="1"/>
    <x:col min="14" max="14" width="40" customWidth="1"/>
    <x:col min="15" max="15" width="12" customWidth="1"/>
    <x:col min="16" max="16" width="14" customWidth="1"/>
    <x:col min="17" max="17" width="14" customWidth="1"/>
    <x:col min="18" max="18" width="16" customWidth="1"/>
    <x:col min="19" max="19" width="14" customWidth="1"/>
    <x:col min="20" max="20" width="28" customWidth="1"/>
    <x:col min="21" max="21" width="12" customWidth="1"/>
    <x:col min="22" max="22" width="12" customWidth="1"/>
    <x:col min="23" max="23" width="28" customWidth="1"/>
    <x:col min="24" max="24" width="26" customWidth="1"/>
    <x:col min="25" max="25" width="40" customWidth="1"/>
    <x:col min="26" max="26" width="38" customWidth="1"/>
    <x:col min="27" max="27" width="28" customWidth="1"/>
    <x:col min="28" max="28" width="20" customWidth="1"/>
    <x:col min="29" max="29" width="50" customWidth="1"/>
    <x:col min="30" max="30" width="36" customWidth="1"/>
    <x:col min="31" max="31" width="15" customWidth="1"/>
    <x:col min="32" max="32" width="17" customWidth="1"/>
    <x:col min="33" max="33" width="18" customWidth="1"/>
    <x:col min="34" max="34" width="22" customWidth="1"/>
  </x:cols>
  <x:sheetData>
    <x:row r="1" ht="24" customHeight="1">
      <x:c r="A1" s="1" t="inlineStr">
        <x:is>
          <x:t xml:space="preserve">GPO Validation Harness V2 (360 cases)</x:t>
        </x:is>
      </x:c>
    </x:row>
    <x:row r="2" ht="24" customHeight="1">
      <x:c r="A2" s="2" t="inlineStr">
        <x:is>
          <x:t xml:space="preserve">Operator note</x:t>
        </x:is>
      </x:c>
      <x:c r="B2" t="inlineStr">
        <x:is>
          <x:t xml:space="preserve">Use this as the execution ledger for Claude Code. Do not redesign from scratch; use failures to justify targeted hardening.</x:t>
        </x:is>
      </x:c>
    </x:row>
    <x:row r="3" ht="24" customHeight="1"/>
    <x:row r="4" ht="24" customHeight="1">
      <x:c r="A4" s="4" t="inlineStr">
        <x:is>
          <x:t xml:space="preserve">Test Case ID</x:t>
        </x:is>
      </x:c>
      <x:c r="B4" s="4" t="inlineStr">
        <x:is>
          <x:t xml:space="preserve">Global Rank</x:t>
        </x:is>
      </x:c>
      <x:c r="C4" s="4" t="inlineStr">
        <x:is>
          <x:t xml:space="preserve">Engine</x:t>
        </x:is>
      </x:c>
      <x:c r="D4" s="4" t="inlineStr">
        <x:is>
          <x:t xml:space="preserve">Category</x:t>
        </x:is>
      </x:c>
      <x:c r="E4" s="4" t="inlineStr">
        <x:is>
          <x:t xml:space="preserve">Set</x:t>
        </x:is>
      </x:c>
      <x:c r="F4" s="4" t="inlineStr">
        <x:is>
          <x:t xml:space="preserve">Engine Q#</x:t>
        </x:is>
      </x:c>
      <x:c r="G4" s="4" t="inlineStr">
        <x:is>
          <x:t xml:space="preserve">Test Question</x:t>
        </x:is>
      </x:c>
      <x:c r="H4" s="4" t="inlineStr">
        <x:is>
          <x:t xml:space="preserve">User Demand Score</x:t>
        </x:is>
      </x:c>
      <x:c r="I4" s="4" t="inlineStr">
        <x:is>
          <x:t xml:space="preserve">Est Audience %</x:t>
        </x:is>
      </x:c>
      <x:c r="J4" s="4" t="inlineStr">
        <x:is>
          <x:t xml:space="preserve">Achievability Score</x:t>
        </x:is>
      </x:c>
      <x:c r="K4" s="4" t="inlineStr">
        <x:is>
          <x:t xml:space="preserve">Business Value Score</x:t>
        </x:is>
      </x:c>
      <x:c r="L4" s="4" t="inlineStr">
        <x:is>
          <x:t xml:space="preserve">Current GPO Status</x:t>
        </x:is>
      </x:c>
      <x:c r="M4" s="4" t="inlineStr">
        <x:is>
          <x:t xml:space="preserve">Blocking Layer</x:t>
        </x:is>
      </x:c>
      <x:c r="N4" s="4" t="inlineStr">
        <x:is>
          <x:t xml:space="preserve">Required Capabilities</x:t>
        </x:is>
      </x:c>
      <x:c r="O4" s="4" t="inlineStr">
        <x:is>
          <x:t xml:space="preserve">Needs Web</x:t>
        </x:is>
      </x:c>
      <x:c r="P4" s="4" t="inlineStr">
        <x:is>
          <x:t xml:space="preserve">Needs Memory</x:t>
        </x:is>
      </x:c>
      <x:c r="Q4" s="4" t="inlineStr">
        <x:is>
          <x:t xml:space="preserve">Needs Tooling</x:t>
        </x:is>
      </x:c>
      <x:c r="R4" s="4" t="inlineStr">
        <x:is>
          <x:t xml:space="preserve">Needs Multi-Agent</x:t>
        </x:is>
      </x:c>
      <x:c r="S4" s="4" t="inlineStr">
        <x:is>
          <x:t xml:space="preserve">Needs Approval</x:t>
        </x:is>
      </x:c>
      <x:c r="T4" s="4" t="inlineStr">
        <x:is>
          <x:t xml:space="preserve">Provider Preference</x:t>
        </x:is>
      </x:c>
      <x:c r="U4" s="4" t="inlineStr">
        <x:is>
          <x:t xml:space="preserve">Difficulty</x:t>
        </x:is>
      </x:c>
      <x:c r="V4" s="4" t="inlineStr">
        <x:is>
          <x:t xml:space="preserve">Difficulty Score</x:t>
        </x:is>
      </x:c>
      <x:c r="W4" s="4" t="inlineStr">
        <x:is>
          <x:t xml:space="preserve">Test Method</x:t>
        </x:is>
      </x:c>
      <x:c r="X4" s="4" t="inlineStr">
        <x:is>
          <x:t xml:space="preserve">Expected Output Type</x:t>
        </x:is>
      </x:c>
      <x:c r="Y4" s="4" t="inlineStr">
        <x:is>
          <x:t xml:space="preserve">Pass Criteria</x:t>
        </x:is>
      </x:c>
      <x:c r="Z4" s="4" t="inlineStr">
        <x:is>
          <x:t xml:space="preserve">Failure Signal</x:t>
        </x:is>
      </x:c>
      <x:c r="AA4" s="4" t="inlineStr">
        <x:is>
          <x:t xml:space="preserve">Suggested Fix Type</x:t>
        </x:is>
      </x:c>
      <x:c r="AB4" s="4" t="inlineStr">
        <x:is>
          <x:t xml:space="preserve">Notes</x:t>
        </x:is>
      </x:c>
      <x:c r="AC4" s="4" t="inlineStr">
        <x:is>
          <x:t xml:space="preserve">Evidence Basis</x:t>
        </x:is>
      </x:c>
      <x:c r="AD4" s="4" t="inlineStr">
        <x:is>
          <x:t xml:space="preserve">Source Basis</x:t>
        </x:is>
      </x:c>
      <x:c r="AE4" s="4" t="inlineStr">
        <x:is>
          <x:t xml:space="preserve">Dependency Load</x:t>
        </x:is>
      </x:c>
      <x:c r="AF4" s="4" t="inlineStr">
        <x:is>
          <x:t xml:space="preserve">Execution Focus %</x:t>
        </x:is>
      </x:c>
      <x:c r="AG4" s="4" t="inlineStr">
        <x:is>
          <x:t xml:space="preserve">Recommended Batch</x:t>
        </x:is>
      </x:c>
      <x:c r="AH4" s="4" t="inlineStr">
        <x:is>
          <x:t xml:space="preserve">Evidence/Result Link</x:t>
        </x:is>
      </x:c>
    </x:row>
    <x:row r="5" ht="24" customHeight="1">
      <x:c r="A5" s="5" t="inlineStr">
        <x:is>
          <x:t xml:space="preserve">GPO-COD-01</x:t>
        </x:is>
      </x:c>
      <x:c r="B5" s="5" t="n">
        <x:v>1</x:v>
      </x:c>
      <x:c r="C5" s="5" t="inlineStr">
        <x:is>
          <x:t xml:space="preserve">Code &amp; Product Engineering</x:t>
        </x:is>
      </x:c>
      <x:c r="D5" s="5" t="inlineStr">
        <x:is>
          <x:t xml:space="preserve">Build</x:t>
        </x:is>
      </x:c>
      <x:c r="E5" s="5" t="inlineStr">
        <x:is>
          <x:t xml:space="preserve">Core 150</x:t>
        </x:is>
      </x:c>
      <x:c r="F5" s="5" t="n">
        <x:v>1</x:v>
      </x:c>
      <x:c r="G5" s="5" t="inlineStr">
        <x:is>
          <x:t xml:space="preserve">Build a production-ready web app with authentication, billing, admin, tests, and deployment docs.</x:t>
        </x:is>
      </x:c>
      <x:c r="H5" s="6" t="n">
        <x:v>84</x:v>
      </x:c>
      <x:c r="I5" s="6" t="n">
        <x:v>84</x:v>
      </x:c>
      <x:c r="J5" s="7" t="n">
        <x:v>92</x:v>
      </x:c>
      <x:c r="K5" s="7" t="n">
        <x:v>88</x:v>
      </x:c>
      <x:c r="L5" s="8" t="inlineStr">
        <x:is>
          <x:t xml:space="preserve">UNTESTED</x:t>
        </x:is>
      </x:c>
      <x:c r="M5" s="9" t="inlineStr">
        <x:is>
          <x:t xml:space="preserve">UNTESTED</x:t>
        </x:is>
      </x:c>
      <x:c r="N5" s="5" t="inlineStr">
        <x:is>
          <x:t xml:space="preserve">routing; code reasoning; repo context; file edit; test execution; structured output</x:t>
        </x:is>
      </x:c>
      <x:c r="O5" s="5" t="inlineStr">
        <x:is>
          <x:t xml:space="preserve">No</x:t>
        </x:is>
      </x:c>
      <x:c r="P5" s="5" t="inlineStr">
        <x:is>
          <x:t xml:space="preserve">Medium</x:t>
        </x:is>
      </x:c>
      <x:c r="Q5" s="5" t="inlineStr">
        <x:is>
          <x:t xml:space="preserve">High</x:t>
        </x:is>
      </x:c>
      <x:c r="R5" s="5" t="inlineStr">
        <x:is>
          <x:t xml:space="preserve">Medium</x:t>
        </x:is>
      </x:c>
      <x:c r="S5" s="5" t="inlineStr">
        <x:is>
          <x:t xml:space="preserve">Low</x:t>
        </x:is>
      </x:c>
      <x:c r="T5" s="5" t="inlineStr">
        <x:is>
          <x:t xml:space="preserve">Claude Code primary; ChatGPT critique; web optional</x:t>
        </x:is>
      </x:c>
      <x:c r="U5" s="5" t="inlineStr">
        <x:is>
          <x:t xml:space="preserve">Easy</x:t>
        </x:is>
      </x:c>
      <x:c r="V5" s="10" t="n">
        <x:v>1</x:v>
      </x:c>
      <x:c r="W5" s="5" t="inlineStr">
        <x:is>
          <x:t xml:space="preserve">Live execution + code diff + output review</x:t>
        </x:is>
      </x:c>
      <x:c r="X5" s="5" t="inlineStr">
        <x:is>
          <x:t xml:space="preserve">code patch / spec / architecture / debug report</x:t>
        </x:is>
      </x:c>
      <x:c r="Y5" s="5" t="inlineStr">
        <x:is>
          <x:t xml:space="preserve">Produces correct technical plan or working code without breaking current behavior.</x:t>
        </x:is>
      </x:c>
      <x:c r="Z5" s="5" t="inlineStr">
        <x:is>
          <x:t xml:space="preserve">Hallucinated codebase facts, unsafe refactor, broken tests, or vague technical output.</x:t>
        </x:is>
      </x:c>
      <x:c r="AA5" s="5" t="inlineStr">
        <x:is>
          <x:t xml:space="preserve">routing / tool wiring / repo context / codegen guardrails</x:t>
        </x:is>
      </x:c>
      <x:c r="AB5" s="5" t="inlineStr">
        <x:is>
          <x:t xml:space="preserve"/>
        </x:is>
      </x:c>
      <x:c r="AC5" s="5" t="inlineStr">
        <x:is>
          <x:t xml:space="preserve">OpenAI/common use: writing+coding; Menlo enterprise coding is 55% of departmental AI spend; Deloitte top app: work assistance.</x:t>
        </x:is>
      </x:c>
      <x:c r="AD5" s="5" t="inlineStr">
        <x:is>
          <x:t xml:space="preserve">OpenAI GPT-5 / How People Use ChatGPT; Menlo State of GenAI in Enterprise 2025; Deloitte Connected Consumer 2025</x:t>
        </x:is>
      </x:c>
      <x:c r="AE5" s="11">
        <x:f>IF(O5="High",20,IF(O5="Medium",10,IF(O5="Low",5,0)))+IF(P5="High",20,IF(P5="Medium",10,IF(P5="Low",5,0)))+IF(Q5="High",20,IF(Q5="Medium",10,IF(Q5="Low",5,0)))+IF(R5="High",20,IF(R5="Medium",10,IF(R5="Low",5,0)))+IF(S5="High",20,IF(S5="Medium",10,IF(S5="Low",5,0)))</x:f>
        <x:v>45</x:v>
      </x:c>
      <x:c r="AF5" s="12">
        <x:f>ROUND(H5*0.30+J5*0.25+K5*0.20+(100-AE5)*0.10+(100-(V5*20))*0.15,0)</x:f>
        <x:v>83</x:v>
      </x:c>
      <x:c r="AG5" s="13" t="str">
        <x:f>IF(AF5&gt;=80,"Batch 1",IF(AF5&gt;=70,"Batch 2",IF(AF5&gt;=60,"Batch 3","Backlog")))</x:f>
        <x:v>Batch 1</x:v>
      </x:c>
      <x:c r="AH5" t="inlineStr">
        <x:is>
          <x:t xml:space="preserve"/>
        </x:is>
      </x:c>
    </x:row>
    <x:row r="6" ht="24" customHeight="1">
      <x:c r="A6" s="5" t="inlineStr">
        <x:is>
          <x:t xml:space="preserve">GPO-WRI-01</x:t>
        </x:is>
      </x:c>
      <x:c r="B6" s="5" t="n">
        <x:v>2</x:v>
      </x:c>
      <x:c r="C6" s="5" t="inlineStr">
        <x:is>
          <x:t xml:space="preserve">Writing &amp; Documentation</x:t>
        </x:is>
      </x:c>
      <x:c r="D6" s="5" t="inlineStr">
        <x:is>
          <x:t xml:space="preserve">Create</x:t>
        </x:is>
      </x:c>
      <x:c r="E6" s="5" t="inlineStr">
        <x:is>
          <x:t xml:space="preserve">Core 150</x:t>
        </x:is>
      </x:c>
      <x:c r="F6" s="5" t="n">
        <x:v>1</x:v>
      </x:c>
      <x:c r="G6" s="5" t="inlineStr">
        <x:is>
          <x:t xml:space="preserve">Draft a high-stakes email to a stakeholder that is sharp, persuasive, and human.</x:t>
        </x:is>
      </x:c>
      <x:c r="H6" s="6" t="n">
        <x:v>82</x:v>
      </x:c>
      <x:c r="I6" s="6" t="n">
        <x:v>82</x:v>
      </x:c>
      <x:c r="J6" s="7" t="n">
        <x:v>94</x:v>
      </x:c>
      <x:c r="K6" s="7" t="n">
        <x:v>87</x:v>
      </x:c>
      <x:c r="L6" s="8" t="inlineStr">
        <x:is>
          <x:t xml:space="preserve">UNTESTED</x:t>
        </x:is>
      </x:c>
      <x:c r="M6" s="9" t="inlineStr">
        <x:is>
          <x:t xml:space="preserve">UNTESTED</x:t>
        </x:is>
      </x:c>
      <x:c r="N6" s="5" t="inlineStr">
        <x:is>
          <x:t xml:space="preserve">writing quality; summarization; style control; structured artifacts</x:t>
        </x:is>
      </x:c>
      <x:c r="O6" s="5" t="inlineStr">
        <x:is>
          <x:t xml:space="preserve">Low</x:t>
        </x:is>
      </x:c>
      <x:c r="P6" s="5" t="inlineStr">
        <x:is>
          <x:t xml:space="preserve">Medium</x:t>
        </x:is>
      </x:c>
      <x:c r="Q6" s="5" t="inlineStr">
        <x:is>
          <x:t xml:space="preserve">Low</x:t>
        </x:is>
      </x:c>
      <x:c r="R6" s="5" t="inlineStr">
        <x:is>
          <x:t xml:space="preserve">Low</x:t>
        </x:is>
      </x:c>
      <x:c r="S6" s="5" t="inlineStr">
        <x:is>
          <x:t xml:space="preserve">Low</x:t>
        </x:is>
      </x:c>
      <x:c r="T6" s="5" t="inlineStr">
        <x:is>
          <x:t xml:space="preserve">ChatGPT or Claude; human review optional</x:t>
        </x:is>
      </x:c>
      <x:c r="U6" s="5" t="inlineStr">
        <x:is>
          <x:t xml:space="preserve">Easy</x:t>
        </x:is>
      </x:c>
      <x:c r="V6" s="10" t="n">
        <x:v>1</x:v>
      </x:c>
      <x:c r="W6" s="5" t="inlineStr">
        <x:is>
          <x:t xml:space="preserve">Prompt execution + artifact quality review</x:t>
        </x:is>
      </x:c>
      <x:c r="X6" s="5" t="inlineStr">
        <x:is>
          <x:t xml:space="preserve">doc / memo / email / FAQ / summary</x:t>
        </x:is>
      </x:c>
      <x:c r="Y6" s="5" t="inlineStr">
        <x:is>
          <x:t xml:space="preserve">Output is clear, tailored, structurally sound, and immediately usable.</x:t>
        </x:is>
      </x:c>
      <x:c r="Z6" s="5" t="inlineStr">
        <x:is>
          <x:t xml:space="preserve">Generic tone, missing context, weak structure, or wrong audience level.</x:t>
        </x:is>
      </x:c>
      <x:c r="AA6" s="5" t="inlineStr">
        <x:is>
          <x:t xml:space="preserve">prompt pack / style guidance / output schema</x:t>
        </x:is>
      </x:c>
      <x:c r="AB6" s="5" t="inlineStr">
        <x:is>
          <x:t xml:space="preserve"/>
        </x:is>
      </x:c>
      <x:c r="AC6" s="5" t="inlineStr">
        <x:is>
          <x:t xml:space="preserve">OpenAI usage paper: Writing is in top 3 categories; Menlo consumer AI says 19% use AI to write emails and 18% get writing support.</x:t>
        </x:is>
      </x:c>
      <x:c r="AD6" s="5" t="inlineStr">
        <x:is>
          <x:t xml:space="preserve">OpenAI How People Use ChatGPT paper; Menlo State of Consumer AI 2025</x:t>
        </x:is>
      </x:c>
      <x:c r="AE6" s="11">
        <x:f>IF(O6="High",20,IF(O6="Medium",10,IF(O6="Low",5,0)))+IF(P6="High",20,IF(P6="Medium",10,IF(P6="Low",5,0)))+IF(Q6="High",20,IF(Q6="Medium",10,IF(Q6="Low",5,0)))+IF(R6="High",20,IF(R6="Medium",10,IF(R6="Low",5,0)))+IF(S6="High",20,IF(S6="Medium",10,IF(S6="Low",5,0)))</x:f>
        <x:v>30</x:v>
      </x:c>
      <x:c r="AF6" s="12">
        <x:f>ROUND(H6*0.30+J6*0.25+K6*0.20+(100-AE6)*0.10+(100-(V6*20))*0.15,0)</x:f>
        <x:v>85</x:v>
      </x:c>
      <x:c r="AG6" s="13" t="str">
        <x:f>IF(AF6&gt;=80,"Batch 1",IF(AF6&gt;=70,"Batch 2",IF(AF6&gt;=60,"Batch 3","Backlog")))</x:f>
        <x:v>Batch 1</x:v>
      </x:c>
      <x:c r="AH6" t="inlineStr">
        <x:is>
          <x:t xml:space="preserve"/>
        </x:is>
      </x:c>
    </x:row>
    <x:row r="7" ht="24" customHeight="1">
      <x:c r="A7" s="5" t="inlineStr">
        <x:is>
          <x:t xml:space="preserve">GPO-COD-02</x:t>
        </x:is>
      </x:c>
      <x:c r="B7" s="5" t="n">
        <x:v>3</x:v>
      </x:c>
      <x:c r="C7" s="5" t="inlineStr">
        <x:is>
          <x:t xml:space="preserve">Code &amp; Product Engineering</x:t>
        </x:is>
      </x:c>
      <x:c r="D7" s="5" t="inlineStr">
        <x:is>
          <x:t xml:space="preserve">Build</x:t>
        </x:is>
      </x:c>
      <x:c r="E7" s="5" t="inlineStr">
        <x:is>
          <x:t xml:space="preserve">Core 150</x:t>
        </x:is>
      </x:c>
      <x:c r="F7" s="5" t="n">
        <x:v>2</x:v>
      </x:c>
      <x:c r="G7" s="5" t="inlineStr">
        <x:is>
          <x:t xml:space="preserve">Debug why service or pipeline is failing in production and give the exact fix path.</x:t>
        </x:is>
      </x:c>
      <x:c r="H7" s="6" t="n">
        <x:v>82</x:v>
      </x:c>
      <x:c r="I7" s="6" t="n">
        <x:v>82</x:v>
      </x:c>
      <x:c r="J7" s="7" t="n">
        <x:v>91</x:v>
      </x:c>
      <x:c r="K7" s="7" t="n">
        <x:v>86</x:v>
      </x:c>
      <x:c r="L7" s="8" t="inlineStr">
        <x:is>
          <x:t xml:space="preserve">UNTESTED</x:t>
        </x:is>
      </x:c>
      <x:c r="M7" s="9" t="inlineStr">
        <x:is>
          <x:t xml:space="preserve">UNTESTED</x:t>
        </x:is>
      </x:c>
      <x:c r="N7" s="5" t="inlineStr">
        <x:is>
          <x:t xml:space="preserve">routing; code reasoning; repo context; file edit; test execution; structured output</x:t>
        </x:is>
      </x:c>
      <x:c r="O7" s="5" t="inlineStr">
        <x:is>
          <x:t xml:space="preserve">No</x:t>
        </x:is>
      </x:c>
      <x:c r="P7" s="5" t="inlineStr">
        <x:is>
          <x:t xml:space="preserve">Medium</x:t>
        </x:is>
      </x:c>
      <x:c r="Q7" s="5" t="inlineStr">
        <x:is>
          <x:t xml:space="preserve">High</x:t>
        </x:is>
      </x:c>
      <x:c r="R7" s="5" t="inlineStr">
        <x:is>
          <x:t xml:space="preserve">Medium</x:t>
        </x:is>
      </x:c>
      <x:c r="S7" s="5" t="inlineStr">
        <x:is>
          <x:t xml:space="preserve">Low</x:t>
        </x:is>
      </x:c>
      <x:c r="T7" s="5" t="inlineStr">
        <x:is>
          <x:t xml:space="preserve">Claude Code primary; ChatGPT critique; web optional</x:t>
        </x:is>
      </x:c>
      <x:c r="U7" s="5" t="inlineStr">
        <x:is>
          <x:t xml:space="preserve">Easy</x:t>
        </x:is>
      </x:c>
      <x:c r="V7" s="10" t="n">
        <x:v>1</x:v>
      </x:c>
      <x:c r="W7" s="5" t="inlineStr">
        <x:is>
          <x:t xml:space="preserve">Live execution + code diff + output review</x:t>
        </x:is>
      </x:c>
      <x:c r="X7" s="5" t="inlineStr">
        <x:is>
          <x:t xml:space="preserve">code patch / spec / architecture / debug report</x:t>
        </x:is>
      </x:c>
      <x:c r="Y7" s="5" t="inlineStr">
        <x:is>
          <x:t xml:space="preserve">Produces correct technical plan or working code without breaking current behavior.</x:t>
        </x:is>
      </x:c>
      <x:c r="Z7" s="5" t="inlineStr">
        <x:is>
          <x:t xml:space="preserve">Hallucinated codebase facts, unsafe refactor, broken tests, or vague technical output.</x:t>
        </x:is>
      </x:c>
      <x:c r="AA7" s="5" t="inlineStr">
        <x:is>
          <x:t xml:space="preserve">routing / tool wiring / repo context / codegen guardrails</x:t>
        </x:is>
      </x:c>
      <x:c r="AB7" s="5" t="inlineStr">
        <x:is>
          <x:t xml:space="preserve"/>
        </x:is>
      </x:c>
      <x:c r="AC7" s="5" t="inlineStr">
        <x:is>
          <x:t xml:space="preserve">OpenAI/common use: writing+coding; Menlo enterprise coding is 55% of departmental AI spend; Deloitte top app: work assistance.</x:t>
        </x:is>
      </x:c>
      <x:c r="AD7" s="5" t="inlineStr">
        <x:is>
          <x:t xml:space="preserve">OpenAI GPT-5 / How People Use ChatGPT; Menlo State of GenAI in Enterprise 2025; Deloitte Connected Consumer 2025</x:t>
        </x:is>
      </x:c>
      <x:c r="AE7" s="11">
        <x:f>IF(O7="High",20,IF(O7="Medium",10,IF(O7="Low",5,0)))+IF(P7="High",20,IF(P7="Medium",10,IF(P7="Low",5,0)))+IF(Q7="High",20,IF(Q7="Medium",10,IF(Q7="Low",5,0)))+IF(R7="High",20,IF(R7="Medium",10,IF(R7="Low",5,0)))+IF(S7="High",20,IF(S7="Medium",10,IF(S7="Low",5,0)))</x:f>
        <x:v>45</x:v>
      </x:c>
      <x:c r="AF7" s="12">
        <x:f>ROUND(H7*0.30+J7*0.25+K7*0.20+(100-AE7)*0.10+(100-(V7*20))*0.15,0)</x:f>
        <x:v>82</x:v>
      </x:c>
      <x:c r="AG7" s="13" t="str">
        <x:f>IF(AF7&gt;=80,"Batch 1",IF(AF7&gt;=70,"Batch 2",IF(AF7&gt;=60,"Batch 3","Backlog")))</x:f>
        <x:v>Batch 1</x:v>
      </x:c>
      <x:c r="AH7" t="inlineStr">
        <x:is>
          <x:t xml:space="preserve"/>
        </x:is>
      </x:c>
    </x:row>
    <x:row r="8" ht="24" customHeight="1">
      <x:c r="A8" s="5" t="inlineStr">
        <x:is>
          <x:t xml:space="preserve">GPO-WRI-02</x:t>
        </x:is>
      </x:c>
      <x:c r="B8" s="5" t="n">
        <x:v>4</x:v>
      </x:c>
      <x:c r="C8" s="5" t="inlineStr">
        <x:is>
          <x:t xml:space="preserve">Writing &amp; Documentation</x:t>
        </x:is>
      </x:c>
      <x:c r="D8" s="5" t="inlineStr">
        <x:is>
          <x:t xml:space="preserve">Create</x:t>
        </x:is>
      </x:c>
      <x:c r="E8" s="5" t="inlineStr">
        <x:is>
          <x:t xml:space="preserve">Core 150</x:t>
        </x:is>
      </x:c>
      <x:c r="F8" s="5" t="n">
        <x:v>2</x:v>
      </x:c>
      <x:c r="G8" s="5" t="inlineStr">
        <x:is>
          <x:t xml:space="preserve">Turn my rough thoughts into a polished PRD/spec/one-pager for this initiative.</x:t>
        </x:is>
      </x:c>
      <x:c r="H8" s="6" t="n">
        <x:v>80</x:v>
      </x:c>
      <x:c r="I8" s="6" t="n">
        <x:v>80</x:v>
      </x:c>
      <x:c r="J8" s="7" t="n">
        <x:v>93</x:v>
      </x:c>
      <x:c r="K8" s="7" t="n">
        <x:v>86</x:v>
      </x:c>
      <x:c r="L8" s="8" t="inlineStr">
        <x:is>
          <x:t xml:space="preserve">UNTESTED</x:t>
        </x:is>
      </x:c>
      <x:c r="M8" s="9" t="inlineStr">
        <x:is>
          <x:t xml:space="preserve">UNTESTED</x:t>
        </x:is>
      </x:c>
      <x:c r="N8" s="5" t="inlineStr">
        <x:is>
          <x:t xml:space="preserve">writing quality; summarization; style control; structured artifacts</x:t>
        </x:is>
      </x:c>
      <x:c r="O8" s="5" t="inlineStr">
        <x:is>
          <x:t xml:space="preserve">Low</x:t>
        </x:is>
      </x:c>
      <x:c r="P8" s="5" t="inlineStr">
        <x:is>
          <x:t xml:space="preserve">Medium</x:t>
        </x:is>
      </x:c>
      <x:c r="Q8" s="5" t="inlineStr">
        <x:is>
          <x:t xml:space="preserve">Low</x:t>
        </x:is>
      </x:c>
      <x:c r="R8" s="5" t="inlineStr">
        <x:is>
          <x:t xml:space="preserve">Low</x:t>
        </x:is>
      </x:c>
      <x:c r="S8" s="5" t="inlineStr">
        <x:is>
          <x:t xml:space="preserve">Low</x:t>
        </x:is>
      </x:c>
      <x:c r="T8" s="5" t="inlineStr">
        <x:is>
          <x:t xml:space="preserve">ChatGPT or Claude; human review optional</x:t>
        </x:is>
      </x:c>
      <x:c r="U8" s="5" t="inlineStr">
        <x:is>
          <x:t xml:space="preserve">Easy</x:t>
        </x:is>
      </x:c>
      <x:c r="V8" s="10" t="n">
        <x:v>1</x:v>
      </x:c>
      <x:c r="W8" s="5" t="inlineStr">
        <x:is>
          <x:t xml:space="preserve">Prompt execution + artifact quality review</x:t>
        </x:is>
      </x:c>
      <x:c r="X8" s="5" t="inlineStr">
        <x:is>
          <x:t xml:space="preserve">doc / memo / email / FAQ / summary</x:t>
        </x:is>
      </x:c>
      <x:c r="Y8" s="5" t="inlineStr">
        <x:is>
          <x:t xml:space="preserve">Output is clear, tailored, structurally sound, and immediately usable.</x:t>
        </x:is>
      </x:c>
      <x:c r="Z8" s="5" t="inlineStr">
        <x:is>
          <x:t xml:space="preserve">Generic tone, missing context, weak structure, or wrong audience level.</x:t>
        </x:is>
      </x:c>
      <x:c r="AA8" s="5" t="inlineStr">
        <x:is>
          <x:t xml:space="preserve">prompt pack / style guidance / output schema</x:t>
        </x:is>
      </x:c>
      <x:c r="AB8" s="5" t="inlineStr">
        <x:is>
          <x:t xml:space="preserve"/>
        </x:is>
      </x:c>
      <x:c r="AC8" s="5" t="inlineStr">
        <x:is>
          <x:t xml:space="preserve">OpenAI usage paper: Writing is in top 3 categories; Menlo consumer AI says 19% use AI to write emails and 18% get writing support.</x:t>
        </x:is>
      </x:c>
      <x:c r="AD8" s="5" t="inlineStr">
        <x:is>
          <x:t xml:space="preserve">OpenAI How People Use ChatGPT paper; Menlo State of Consumer AI 2025</x:t>
        </x:is>
      </x:c>
      <x:c r="AE8" s="11">
        <x:f>IF(O8="High",20,IF(O8="Medium",10,IF(O8="Low",5,0)))+IF(P8="High",20,IF(P8="Medium",10,IF(P8="Low",5,0)))+IF(Q8="High",20,IF(Q8="Medium",10,IF(Q8="Low",5,0)))+IF(R8="High",20,IF(R8="Medium",10,IF(R8="Low",5,0)))+IF(S8="High",20,IF(S8="Medium",10,IF(S8="Low",5,0)))</x:f>
        <x:v>30</x:v>
      </x:c>
      <x:c r="AF8" s="12">
        <x:f>ROUND(H8*0.30+J8*0.25+K8*0.20+(100-AE8)*0.10+(100-(V8*20))*0.15,0)</x:f>
        <x:v>83</x:v>
      </x:c>
      <x:c r="AG8" s="13" t="str">
        <x:f>IF(AF8&gt;=80,"Batch 1",IF(AF8&gt;=70,"Batch 2",IF(AF8&gt;=60,"Batch 3","Backlog")))</x:f>
        <x:v>Batch 1</x:v>
      </x:c>
      <x:c r="AH8" t="inlineStr">
        <x:is>
          <x:t xml:space="preserve"/>
        </x:is>
      </x:c>
    </x:row>
    <x:row r="9" ht="24" customHeight="1">
      <x:c r="A9" s="5" t="inlineStr">
        <x:is>
          <x:t xml:space="preserve">GPO-COD-03</x:t>
        </x:is>
      </x:c>
      <x:c r="B9" s="5" t="n">
        <x:v>5</x:v>
      </x:c>
      <x:c r="C9" s="5" t="inlineStr">
        <x:is>
          <x:t xml:space="preserve">Code &amp; Product Engineering</x:t>
        </x:is>
      </x:c>
      <x:c r="D9" s="5" t="inlineStr">
        <x:is>
          <x:t xml:space="preserve">Build</x:t>
        </x:is>
      </x:c>
      <x:c r="E9" s="5" t="inlineStr">
        <x:is>
          <x:t xml:space="preserve">Core 150</x:t>
        </x:is>
      </x:c>
      <x:c r="F9" s="5" t="n">
        <x:v>3</x:v>
      </x:c>
      <x:c r="G9" s="5" t="inlineStr">
        <x:is>
          <x:t xml:space="preserve">Refactor this codebase for performance, readability, and enterprise maintainability without breaking behavior.</x:t>
        </x:is>
      </x:c>
      <x:c r="H9" s="6" t="n">
        <x:v>81</x:v>
      </x:c>
      <x:c r="I9" s="6" t="n">
        <x:v>81</x:v>
      </x:c>
      <x:c r="J9" s="7" t="n">
        <x:v>90</x:v>
      </x:c>
      <x:c r="K9" s="7" t="n">
        <x:v>85</x:v>
      </x:c>
      <x:c r="L9" s="8" t="inlineStr">
        <x:is>
          <x:t xml:space="preserve">UNTESTED</x:t>
        </x:is>
      </x:c>
      <x:c r="M9" s="9" t="inlineStr">
        <x:is>
          <x:t xml:space="preserve">UNTESTED</x:t>
        </x:is>
      </x:c>
      <x:c r="N9" s="5" t="inlineStr">
        <x:is>
          <x:t xml:space="preserve">routing; code reasoning; repo context; file edit; test execution; structured output</x:t>
        </x:is>
      </x:c>
      <x:c r="O9" s="5" t="inlineStr">
        <x:is>
          <x:t xml:space="preserve">No</x:t>
        </x:is>
      </x:c>
      <x:c r="P9" s="5" t="inlineStr">
        <x:is>
          <x:t xml:space="preserve">Medium</x:t>
        </x:is>
      </x:c>
      <x:c r="Q9" s="5" t="inlineStr">
        <x:is>
          <x:t xml:space="preserve">High</x:t>
        </x:is>
      </x:c>
      <x:c r="R9" s="5" t="inlineStr">
        <x:is>
          <x:t xml:space="preserve">Medium</x:t>
        </x:is>
      </x:c>
      <x:c r="S9" s="5" t="inlineStr">
        <x:is>
          <x:t xml:space="preserve">Low</x:t>
        </x:is>
      </x:c>
      <x:c r="T9" s="5" t="inlineStr">
        <x:is>
          <x:t xml:space="preserve">Claude Code primary; ChatGPT critique; web optional</x:t>
        </x:is>
      </x:c>
      <x:c r="U9" s="5" t="inlineStr">
        <x:is>
          <x:t xml:space="preserve">Easy</x:t>
        </x:is>
      </x:c>
      <x:c r="V9" s="10" t="n">
        <x:v>1</x:v>
      </x:c>
      <x:c r="W9" s="5" t="inlineStr">
        <x:is>
          <x:t xml:space="preserve">Live execution + code diff + output review</x:t>
        </x:is>
      </x:c>
      <x:c r="X9" s="5" t="inlineStr">
        <x:is>
          <x:t xml:space="preserve">code patch / spec / architecture / debug report</x:t>
        </x:is>
      </x:c>
      <x:c r="Y9" s="5" t="inlineStr">
        <x:is>
          <x:t xml:space="preserve">Produces correct technical plan or working code without breaking current behavior.</x:t>
        </x:is>
      </x:c>
      <x:c r="Z9" s="5" t="inlineStr">
        <x:is>
          <x:t xml:space="preserve">Hallucinated codebase facts, unsafe refactor, broken tests, or vague technical output.</x:t>
        </x:is>
      </x:c>
      <x:c r="AA9" s="5" t="inlineStr">
        <x:is>
          <x:t xml:space="preserve">routing / tool wiring / repo context / codegen guardrails</x:t>
        </x:is>
      </x:c>
      <x:c r="AB9" s="5" t="inlineStr">
        <x:is>
          <x:t xml:space="preserve"/>
        </x:is>
      </x:c>
      <x:c r="AC9" s="5" t="inlineStr">
        <x:is>
          <x:t xml:space="preserve">OpenAI/common use: writing+coding; Menlo enterprise coding is 55% of departmental AI spend; Deloitte top app: work assistance.</x:t>
        </x:is>
      </x:c>
      <x:c r="AD9" s="5" t="inlineStr">
        <x:is>
          <x:t xml:space="preserve">OpenAI GPT-5 / How People Use ChatGPT; Menlo State of GenAI in Enterprise 2025; Deloitte Connected Consumer 2025</x:t>
        </x:is>
      </x:c>
      <x:c r="AE9" s="11">
        <x:f>IF(O9="High",20,IF(O9="Medium",10,IF(O9="Low",5,0)))+IF(P9="High",20,IF(P9="Medium",10,IF(P9="Low",5,0)))+IF(Q9="High",20,IF(Q9="Medium",10,IF(Q9="Low",5,0)))+IF(R9="High",20,IF(R9="Medium",10,IF(R9="Low",5,0)))+IF(S9="High",20,IF(S9="Medium",10,IF(S9="Low",5,0)))</x:f>
        <x:v>45</x:v>
      </x:c>
      <x:c r="AF9" s="12">
        <x:f>ROUND(H9*0.30+J9*0.25+K9*0.20+(100-AE9)*0.10+(100-(V9*20))*0.15,0)</x:f>
        <x:v>81</x:v>
      </x:c>
      <x:c r="AG9" s="13" t="str">
        <x:f>IF(AF9&gt;=80,"Batch 1",IF(AF9&gt;=70,"Batch 2",IF(AF9&gt;=60,"Batch 3","Backlog")))</x:f>
        <x:v>Batch 1</x:v>
      </x:c>
      <x:c r="AH9" t="inlineStr">
        <x:is>
          <x:t xml:space="preserve"/>
        </x:is>
      </x:c>
    </x:row>
    <x:row r="10" ht="24" customHeight="1">
      <x:c r="A10" s="5" t="inlineStr">
        <x:is>
          <x:t xml:space="preserve">GPO-WRI-03</x:t>
        </x:is>
      </x:c>
      <x:c r="B10" s="5" t="n">
        <x:v>6</x:v>
      </x:c>
      <x:c r="C10" s="5" t="inlineStr">
        <x:is>
          <x:t xml:space="preserve">Writing &amp; Documentation</x:t>
        </x:is>
      </x:c>
      <x:c r="D10" s="5" t="inlineStr">
        <x:is>
          <x:t xml:space="preserve">Create</x:t>
        </x:is>
      </x:c>
      <x:c r="E10" s="5" t="inlineStr">
        <x:is>
          <x:t xml:space="preserve">Core 150</x:t>
        </x:is>
      </x:c>
      <x:c r="F10" s="5" t="n">
        <x:v>3</x:v>
      </x:c>
      <x:c r="G10" s="5" t="inlineStr">
        <x:is>
          <x:t xml:space="preserve">Rewrite this document so it sounds executive-ready but still precise and concrete.</x:t>
        </x:is>
      </x:c>
      <x:c r="H10" s="6" t="n">
        <x:v>79</x:v>
      </x:c>
      <x:c r="I10" s="6" t="n">
        <x:v>79</x:v>
      </x:c>
      <x:c r="J10" s="7" t="n">
        <x:v>92</x:v>
      </x:c>
      <x:c r="K10" s="7" t="n">
        <x:v>85</x:v>
      </x:c>
      <x:c r="L10" s="8" t="inlineStr">
        <x:is>
          <x:t xml:space="preserve">UNTESTED</x:t>
        </x:is>
      </x:c>
      <x:c r="M10" s="9" t="inlineStr">
        <x:is>
          <x:t xml:space="preserve">UNTESTED</x:t>
        </x:is>
      </x:c>
      <x:c r="N10" s="5" t="inlineStr">
        <x:is>
          <x:t xml:space="preserve">writing quality; summarization; style control; structured artifacts</x:t>
        </x:is>
      </x:c>
      <x:c r="O10" s="5" t="inlineStr">
        <x:is>
          <x:t xml:space="preserve">Low</x:t>
        </x:is>
      </x:c>
      <x:c r="P10" s="5" t="inlineStr">
        <x:is>
          <x:t xml:space="preserve">Medium</x:t>
        </x:is>
      </x:c>
      <x:c r="Q10" s="5" t="inlineStr">
        <x:is>
          <x:t xml:space="preserve">Low</x:t>
        </x:is>
      </x:c>
      <x:c r="R10" s="5" t="inlineStr">
        <x:is>
          <x:t xml:space="preserve">Low</x:t>
        </x:is>
      </x:c>
      <x:c r="S10" s="5" t="inlineStr">
        <x:is>
          <x:t xml:space="preserve">Low</x:t>
        </x:is>
      </x:c>
      <x:c r="T10" s="5" t="inlineStr">
        <x:is>
          <x:t xml:space="preserve">ChatGPT or Claude; human review optional</x:t>
        </x:is>
      </x:c>
      <x:c r="U10" s="5" t="inlineStr">
        <x:is>
          <x:t xml:space="preserve">Easy</x:t>
        </x:is>
      </x:c>
      <x:c r="V10" s="10" t="n">
        <x:v>1</x:v>
      </x:c>
      <x:c r="W10" s="5" t="inlineStr">
        <x:is>
          <x:t xml:space="preserve">Prompt execution + artifact quality review</x:t>
        </x:is>
      </x:c>
      <x:c r="X10" s="5" t="inlineStr">
        <x:is>
          <x:t xml:space="preserve">doc / memo / email / FAQ / summary</x:t>
        </x:is>
      </x:c>
      <x:c r="Y10" s="5" t="inlineStr">
        <x:is>
          <x:t xml:space="preserve">Output is clear, tailored, structurally sound, and immediately usable.</x:t>
        </x:is>
      </x:c>
      <x:c r="Z10" s="5" t="inlineStr">
        <x:is>
          <x:t xml:space="preserve">Generic tone, missing context, weak structure, or wrong audience level.</x:t>
        </x:is>
      </x:c>
      <x:c r="AA10" s="5" t="inlineStr">
        <x:is>
          <x:t xml:space="preserve">prompt pack / style guidance / output schema</x:t>
        </x:is>
      </x:c>
      <x:c r="AB10" s="5" t="inlineStr">
        <x:is>
          <x:t xml:space="preserve"/>
        </x:is>
      </x:c>
      <x:c r="AC10" s="5" t="inlineStr">
        <x:is>
          <x:t xml:space="preserve">OpenAI usage paper: Writing is in top 3 categories; Menlo consumer AI says 19% use AI to write emails and 18% get writing support.</x:t>
        </x:is>
      </x:c>
      <x:c r="AD10" s="5" t="inlineStr">
        <x:is>
          <x:t xml:space="preserve">OpenAI How People Use ChatGPT paper; Menlo State of Consumer AI 2025</x:t>
        </x:is>
      </x:c>
      <x:c r="AE10" s="11">
        <x:f>IF(O10="High",20,IF(O10="Medium",10,IF(O10="Low",5,0)))+IF(P10="High",20,IF(P10="Medium",10,IF(P10="Low",5,0)))+IF(Q10="High",20,IF(Q10="Medium",10,IF(Q10="Low",5,0)))+IF(R10="High",20,IF(R10="Medium",10,IF(R10="Low",5,0)))+IF(S10="High",20,IF(S10="Medium",10,IF(S10="Low",5,0)))</x:f>
        <x:v>30</x:v>
      </x:c>
      <x:c r="AF10" s="12">
        <x:f>ROUND(H10*0.30+J10*0.25+K10*0.20+(100-AE10)*0.10+(100-(V10*20))*0.15,0)</x:f>
        <x:v>83</x:v>
      </x:c>
      <x:c r="AG10" s="13" t="str">
        <x:f>IF(AF10&gt;=80,"Batch 1",IF(AF10&gt;=70,"Batch 2",IF(AF10&gt;=60,"Batch 3","Backlog")))</x:f>
        <x:v>Batch 1</x:v>
      </x:c>
      <x:c r="AH10" t="inlineStr">
        <x:is>
          <x:t xml:space="preserve"/>
        </x:is>
      </x:c>
    </x:row>
    <x:row r="11">
      <x:c r="A11" s="5" t="inlineStr">
        <x:is>
          <x:t xml:space="preserve">GPO-COD-04</x:t>
        </x:is>
      </x:c>
      <x:c r="B11" s="5" t="n">
        <x:v>7</x:v>
      </x:c>
      <x:c r="C11" s="5" t="inlineStr">
        <x:is>
          <x:t xml:space="preserve">Code &amp; Product Engineering</x:t>
        </x:is>
      </x:c>
      <x:c r="D11" s="5" t="inlineStr">
        <x:is>
          <x:t xml:space="preserve">Build</x:t>
        </x:is>
      </x:c>
      <x:c r="E11" s="5" t="inlineStr">
        <x:is>
          <x:t xml:space="preserve">Core 150</x:t>
        </x:is>
      </x:c>
      <x:c r="F11" s="5" t="n">
        <x:v>4</x:v>
      </x:c>
      <x:c r="G11" s="5" t="inlineStr">
        <x:is>
          <x:t xml:space="preserve">Design the full architecture for platform including database schema, queues, APIs, auth, and observability.</x:t>
        </x:is>
      </x:c>
      <x:c r="H11" s="6" t="n">
        <x:v>79</x:v>
      </x:c>
      <x:c r="I11" s="6" t="n">
        <x:v>79</x:v>
      </x:c>
      <x:c r="J11" s="7" t="n">
        <x:v>90</x:v>
      </x:c>
      <x:c r="K11" s="7" t="n">
        <x:v>84</x:v>
      </x:c>
      <x:c r="L11" s="8" t="inlineStr">
        <x:is>
          <x:t xml:space="preserve">UNTESTED</x:t>
        </x:is>
      </x:c>
      <x:c r="M11" s="9" t="inlineStr">
        <x:is>
          <x:t xml:space="preserve">UNTESTED</x:t>
        </x:is>
      </x:c>
      <x:c r="N11" s="5" t="inlineStr">
        <x:is>
          <x:t xml:space="preserve">routing; code reasoning; repo context; file edit; test execution; structured output</x:t>
        </x:is>
      </x:c>
      <x:c r="O11" s="5" t="inlineStr">
        <x:is>
          <x:t xml:space="preserve">No</x:t>
        </x:is>
      </x:c>
      <x:c r="P11" s="5" t="inlineStr">
        <x:is>
          <x:t xml:space="preserve">Medium</x:t>
        </x:is>
      </x:c>
      <x:c r="Q11" s="5" t="inlineStr">
        <x:is>
          <x:t xml:space="preserve">High</x:t>
        </x:is>
      </x:c>
      <x:c r="R11" s="5" t="inlineStr">
        <x:is>
          <x:t xml:space="preserve">Medium</x:t>
        </x:is>
      </x:c>
      <x:c r="S11" s="5" t="inlineStr">
        <x:is>
          <x:t xml:space="preserve">Low</x:t>
        </x:is>
      </x:c>
      <x:c r="T11" s="5" t="inlineStr">
        <x:is>
          <x:t xml:space="preserve">Claude Code primary; ChatGPT critique; web optional</x:t>
        </x:is>
      </x:c>
      <x:c r="U11" s="5" t="inlineStr">
        <x:is>
          <x:t xml:space="preserve">Easy</x:t>
        </x:is>
      </x:c>
      <x:c r="V11" s="10" t="n">
        <x:v>1</x:v>
      </x:c>
      <x:c r="W11" s="5" t="inlineStr">
        <x:is>
          <x:t xml:space="preserve">Live execution + code diff + output review</x:t>
        </x:is>
      </x:c>
      <x:c r="X11" s="5" t="inlineStr">
        <x:is>
          <x:t xml:space="preserve">code patch / spec / architecture / debug report</x:t>
        </x:is>
      </x:c>
      <x:c r="Y11" s="5" t="inlineStr">
        <x:is>
          <x:t xml:space="preserve">Produces correct technical plan or working code without breaking current behavior.</x:t>
        </x:is>
      </x:c>
      <x:c r="Z11" s="5" t="inlineStr">
        <x:is>
          <x:t xml:space="preserve">Hallucinated codebase facts, unsafe refactor, broken tests, or vague technical output.</x:t>
        </x:is>
      </x:c>
      <x:c r="AA11" s="5" t="inlineStr">
        <x:is>
          <x:t xml:space="preserve">routing / tool wiring / repo context / codegen guardrails</x:t>
        </x:is>
      </x:c>
      <x:c r="AB11" s="5" t="inlineStr">
        <x:is>
          <x:t xml:space="preserve"/>
        </x:is>
      </x:c>
      <x:c r="AC11" s="5" t="inlineStr">
        <x:is>
          <x:t xml:space="preserve">OpenAI/common use: writing+coding; Menlo enterprise coding is 55% of departmental AI spend; Deloitte top app: work assistance.</x:t>
        </x:is>
      </x:c>
      <x:c r="AD11" s="5" t="inlineStr">
        <x:is>
          <x:t xml:space="preserve">OpenAI GPT-5 / How People Use ChatGPT; Menlo State of GenAI in Enterprise 2025; Deloitte Connected Consumer 2025</x:t>
        </x:is>
      </x:c>
      <x:c r="AE11" s="11">
        <x:f>IF(O11="High",20,IF(O11="Medium",10,IF(O11="Low",5,0)))+IF(P11="High",20,IF(P11="Medium",10,IF(P11="Low",5,0)))+IF(Q11="High",20,IF(Q11="Medium",10,IF(Q11="Low",5,0)))+IF(R11="High",20,IF(R11="Medium",10,IF(R11="Low",5,0)))+IF(S11="High",20,IF(S11="Medium",10,IF(S11="Low",5,0)))</x:f>
        <x:v>45</x:v>
      </x:c>
      <x:c r="AF11" s="12">
        <x:f>ROUND(H11*0.30+J11*0.25+K11*0.20+(100-AE11)*0.10+(100-(V11*20))*0.15,0)</x:f>
        <x:v>81</x:v>
      </x:c>
      <x:c r="AG11" s="13" t="str">
        <x:f>IF(AF11&gt;=80,"Batch 1",IF(AF11&gt;=70,"Batch 2",IF(AF11&gt;=60,"Batch 3","Backlog")))</x:f>
        <x:v>Batch 1</x:v>
      </x:c>
      <x:c r="AH11" t="inlineStr">
        <x:is>
          <x:t xml:space="preserve"/>
        </x:is>
      </x:c>
    </x:row>
    <x:row r="12">
      <x:c r="A12" s="5" t="inlineStr">
        <x:is>
          <x:t xml:space="preserve">GPO-RES-01</x:t>
        </x:is>
      </x:c>
      <x:c r="B12" s="5" t="n">
        <x:v>8</x:v>
      </x:c>
      <x:c r="C12" s="5" t="inlineStr">
        <x:is>
          <x:t xml:space="preserve">Research &amp; Analysis</x:t>
        </x:is>
      </x:c>
      <x:c r="D12" s="5" t="inlineStr">
        <x:is>
          <x:t xml:space="preserve">Think</x:t>
        </x:is>
      </x:c>
      <x:c r="E12" s="5" t="inlineStr">
        <x:is>
          <x:t xml:space="preserve">Core 150</x:t>
        </x:is>
      </x:c>
      <x:c r="F12" s="5" t="n">
        <x:v>1</x:v>
      </x:c>
      <x:c r="G12" s="5" t="inlineStr">
        <x:is>
          <x:t xml:space="preserve">Research the market for the market and tell me whether it is actually worth building.</x:t>
        </x:is>
      </x:c>
      <x:c r="H12" s="6" t="n">
        <x:v>80</x:v>
      </x:c>
      <x:c r="I12" s="6" t="n">
        <x:v>80</x:v>
      </x:c>
      <x:c r="J12" s="7" t="n">
        <x:v>88</x:v>
      </x:c>
      <x:c r="K12" s="7" t="n">
        <x:v>84</x:v>
      </x:c>
      <x:c r="L12" s="8" t="inlineStr">
        <x:is>
          <x:t xml:space="preserve">UNTESTED</x:t>
        </x:is>
      </x:c>
      <x:c r="M12" s="9" t="inlineStr">
        <x:is>
          <x:t xml:space="preserve">UNTESTED</x:t>
        </x:is>
      </x:c>
      <x:c r="N12" s="5" t="inlineStr">
        <x:is>
          <x:t xml:space="preserve">web research; synthesis; citation discipline; decision framing</x:t>
        </x:is>
      </x:c>
      <x:c r="O12" s="5" t="inlineStr">
        <x:is>
          <x:t xml:space="preserve">High</x:t>
        </x:is>
      </x:c>
      <x:c r="P12" s="5" t="inlineStr">
        <x:is>
          <x:t xml:space="preserve">Medium</x:t>
        </x:is>
      </x:c>
      <x:c r="Q12" s="5" t="inlineStr">
        <x:is>
          <x:t xml:space="preserve">Medium</x:t>
        </x:is>
      </x:c>
      <x:c r="R12" s="5" t="inlineStr">
        <x:is>
          <x:t xml:space="preserve">Medium</x:t>
        </x:is>
      </x:c>
      <x:c r="S12" s="5" t="inlineStr">
        <x:is>
          <x:t xml:space="preserve">Low</x:t>
        </x:is>
      </x:c>
      <x:c r="T12" s="5" t="inlineStr">
        <x:is>
          <x:t xml:space="preserve">ChatGPT with web; Claude for synthesis</x:t>
        </x:is>
      </x:c>
      <x:c r="U12" s="5" t="inlineStr">
        <x:is>
          <x:t xml:space="preserve">Easy</x:t>
        </x:is>
      </x:c>
      <x:c r="V12" s="10" t="n">
        <x:v>1</x:v>
      </x:c>
      <x:c r="W12" s="5" t="inlineStr">
        <x:is>
          <x:t xml:space="preserve">Live research + source validation + recommendation review</x:t>
        </x:is>
      </x:c>
      <x:c r="X12" s="5" t="inlineStr">
        <x:is>
          <x:t xml:space="preserve">brief / comparison / decision memo / risk analysis</x:t>
        </x:is>
      </x:c>
      <x:c r="Y12" s="5" t="inlineStr">
        <x:is>
          <x:t xml:space="preserve">Accurate synthesis with evidence, tradeoffs, and a concrete recommendation.</x:t>
        </x:is>
      </x:c>
      <x:c r="Z12" s="5" t="inlineStr">
        <x:is>
          <x:t xml:space="preserve">Stale facts, no citations, weak reasoning, or surface-level synthesis.</x:t>
        </x:is>
      </x:c>
      <x:c r="AA12" s="5" t="inlineStr">
        <x:is>
          <x:t xml:space="preserve">web integration / citation enforcement / analysis rubric</x:t>
        </x:is>
      </x:c>
      <x:c r="AB12" s="5" t="inlineStr">
        <x:is>
          <x:t xml:space="preserve"/>
        </x:is>
      </x:c>
      <x:c r="AC12" s="5" t="inlineStr">
        <x:is>
          <x:t xml:space="preserve">OpenAI usage paper: Seeking Information is in top 3 categories; work/advice/search are common across Deloitte and OpenAI.</x:t>
        </x:is>
      </x:c>
      <x:c r="AD12" s="5" t="inlineStr">
        <x:is>
          <x:t xml:space="preserve">OpenAI How People Use ChatGPT paper; Deloitte Connected Consumer 2025</x:t>
        </x:is>
      </x:c>
      <x:c r="AE12" s="11">
        <x:f>IF(O12="High",20,IF(O12="Medium",10,IF(O12="Low",5,0)))+IF(P12="High",20,IF(P12="Medium",10,IF(P12="Low",5,0)))+IF(Q12="High",20,IF(Q12="Medium",10,IF(Q12="Low",5,0)))+IF(R12="High",20,IF(R12="Medium",10,IF(R12="Low",5,0)))+IF(S12="High",20,IF(S12="Medium",10,IF(S12="Low",5,0)))</x:f>
        <x:v>55</x:v>
      </x:c>
      <x:c r="AF12" s="12">
        <x:f>ROUND(H12*0.30+J12*0.25+K12*0.20+(100-AE12)*0.10+(100-(V12*20))*0.15,0)</x:f>
        <x:v>79</x:v>
      </x:c>
      <x:c r="AG12" s="13" t="str">
        <x:f>IF(AF12&gt;=80,"Batch 1",IF(AF12&gt;=70,"Batch 2",IF(AF12&gt;=60,"Batch 3","Backlog")))</x:f>
        <x:v>Batch 2</x:v>
      </x:c>
      <x:c r="AH12" t="inlineStr">
        <x:is>
          <x:t xml:space="preserve"/>
        </x:is>
      </x:c>
    </x:row>
    <x:row r="13">
      <x:c r="A13" s="5" t="inlineStr">
        <x:is>
          <x:t xml:space="preserve">GPO-WRI-04</x:t>
        </x:is>
      </x:c>
      <x:c r="B13" s="5" t="n">
        <x:v>9</x:v>
      </x:c>
      <x:c r="C13" s="5" t="inlineStr">
        <x:is>
          <x:t xml:space="preserve">Writing &amp; Documentation</x:t>
        </x:is>
      </x:c>
      <x:c r="D13" s="5" t="inlineStr">
        <x:is>
          <x:t xml:space="preserve">Create</x:t>
        </x:is>
      </x:c>
      <x:c r="E13" s="5" t="inlineStr">
        <x:is>
          <x:t xml:space="preserve">Core 150</x:t>
        </x:is>
      </x:c>
      <x:c r="F13" s="5" t="n">
        <x:v>4</x:v>
      </x:c>
      <x:c r="G13" s="5" t="inlineStr">
        <x:is>
          <x:t xml:space="preserve">Summarize this long document/thread into the key decisions, risks, and next steps.</x:t>
        </x:is>
      </x:c>
      <x:c r="H13" s="6" t="n">
        <x:v>77</x:v>
      </x:c>
      <x:c r="I13" s="6" t="n">
        <x:v>77</x:v>
      </x:c>
      <x:c r="J13" s="7" t="n">
        <x:v>92</x:v>
      </x:c>
      <x:c r="K13" s="7" t="n">
        <x:v>84</x:v>
      </x:c>
      <x:c r="L13" s="8" t="inlineStr">
        <x:is>
          <x:t xml:space="preserve">UNTESTED</x:t>
        </x:is>
      </x:c>
      <x:c r="M13" s="9" t="inlineStr">
        <x:is>
          <x:t xml:space="preserve">UNTESTED</x:t>
        </x:is>
      </x:c>
      <x:c r="N13" s="5" t="inlineStr">
        <x:is>
          <x:t xml:space="preserve">writing quality; summarization; style control; structured artifacts</x:t>
        </x:is>
      </x:c>
      <x:c r="O13" s="5" t="inlineStr">
        <x:is>
          <x:t xml:space="preserve">Low</x:t>
        </x:is>
      </x:c>
      <x:c r="P13" s="5" t="inlineStr">
        <x:is>
          <x:t xml:space="preserve">Medium</x:t>
        </x:is>
      </x:c>
      <x:c r="Q13" s="5" t="inlineStr">
        <x:is>
          <x:t xml:space="preserve">Low</x:t>
        </x:is>
      </x:c>
      <x:c r="R13" s="5" t="inlineStr">
        <x:is>
          <x:t xml:space="preserve">Low</x:t>
        </x:is>
      </x:c>
      <x:c r="S13" s="5" t="inlineStr">
        <x:is>
          <x:t xml:space="preserve">Low</x:t>
        </x:is>
      </x:c>
      <x:c r="T13" s="5" t="inlineStr">
        <x:is>
          <x:t xml:space="preserve">ChatGPT or Claude; human review optional</x:t>
        </x:is>
      </x:c>
      <x:c r="U13" s="5" t="inlineStr">
        <x:is>
          <x:t xml:space="preserve">Easy</x:t>
        </x:is>
      </x:c>
      <x:c r="V13" s="10" t="n">
        <x:v>1</x:v>
      </x:c>
      <x:c r="W13" s="5" t="inlineStr">
        <x:is>
          <x:t xml:space="preserve">Prompt execution + artifact quality review</x:t>
        </x:is>
      </x:c>
      <x:c r="X13" s="5" t="inlineStr">
        <x:is>
          <x:t xml:space="preserve">doc / memo / email / FAQ / summary</x:t>
        </x:is>
      </x:c>
      <x:c r="Y13" s="5" t="inlineStr">
        <x:is>
          <x:t xml:space="preserve">Output is clear, tailored, structurally sound, and immediately usable.</x:t>
        </x:is>
      </x:c>
      <x:c r="Z13" s="5" t="inlineStr">
        <x:is>
          <x:t xml:space="preserve">Generic tone, missing context, weak structure, or wrong audience level.</x:t>
        </x:is>
      </x:c>
      <x:c r="AA13" s="5" t="inlineStr">
        <x:is>
          <x:t xml:space="preserve">prompt pack / style guidance / output schema</x:t>
        </x:is>
      </x:c>
      <x:c r="AB13" s="5" t="inlineStr">
        <x:is>
          <x:t xml:space="preserve"/>
        </x:is>
      </x:c>
      <x:c r="AC13" s="5" t="inlineStr">
        <x:is>
          <x:t xml:space="preserve">OpenAI usage paper: Writing is in top 3 categories; Menlo consumer AI says 19% use AI to write emails and 18% get writing support.</x:t>
        </x:is>
      </x:c>
      <x:c r="AD13" s="5" t="inlineStr">
        <x:is>
          <x:t xml:space="preserve">OpenAI How People Use ChatGPT paper; Menlo State of Consumer AI 2025</x:t>
        </x:is>
      </x:c>
      <x:c r="AE13" s="11">
        <x:f>IF(O13="High",20,IF(O13="Medium",10,IF(O13="Low",5,0)))+IF(P13="High",20,IF(P13="Medium",10,IF(P13="Low",5,0)))+IF(Q13="High",20,IF(Q13="Medium",10,IF(Q13="Low",5,0)))+IF(R13="High",20,IF(R13="Medium",10,IF(R13="Low",5,0)))+IF(S13="High",20,IF(S13="Medium",10,IF(S13="Low",5,0)))</x:f>
        <x:v>30</x:v>
      </x:c>
      <x:c r="AF13" s="12">
        <x:f>ROUND(H13*0.30+J13*0.25+K13*0.20+(100-AE13)*0.10+(100-(V13*20))*0.15,0)</x:f>
        <x:v>82</x:v>
      </x:c>
      <x:c r="AG13" s="13" t="str">
        <x:f>IF(AF13&gt;=80,"Batch 1",IF(AF13&gt;=70,"Batch 2",IF(AF13&gt;=60,"Batch 3","Backlog")))</x:f>
        <x:v>Batch 1</x:v>
      </x:c>
      <x:c r="AH13" t="inlineStr">
        <x:is>
          <x:t xml:space="preserve"/>
        </x:is>
      </x:c>
    </x:row>
    <x:row r="14">
      <x:c r="A14" s="5" t="inlineStr">
        <x:is>
          <x:t xml:space="preserve">GPO-LEA-01</x:t>
        </x:is>
      </x:c>
      <x:c r="B14" s="5" t="n">
        <x:v>10</x:v>
      </x:c>
      <x:c r="C14" s="5" t="inlineStr">
        <x:is>
          <x:t xml:space="preserve">Learning &amp; Tutoring</x:t>
        </x:is>
      </x:c>
      <x:c r="D14" s="5" t="inlineStr">
        <x:is>
          <x:t xml:space="preserve">Grow</x:t>
        </x:is>
      </x:c>
      <x:c r="E14" s="5" t="inlineStr">
        <x:is>
          <x:t xml:space="preserve">Core 150</x:t>
        </x:is>
      </x:c>
      <x:c r="F14" s="5" t="n">
        <x:v>1</x:v>
      </x:c>
      <x:c r="G14" s="5" t="inlineStr">
        <x:is>
          <x:t xml:space="preserve">Teach me the subject from beginner to advanced with a personalized study plan.</x:t>
        </x:is>
      </x:c>
      <x:c r="H14" s="6" t="n">
        <x:v>78</x:v>
      </x:c>
      <x:c r="I14" s="6" t="n">
        <x:v>78</x:v>
      </x:c>
      <x:c r="J14" s="7" t="n">
        <x:v>90</x:v>
      </x:c>
      <x:c r="K14" s="7" t="n">
        <x:v>83</x:v>
      </x:c>
      <x:c r="L14" s="8" t="inlineStr">
        <x:is>
          <x:t xml:space="preserve">UNTESTED</x:t>
        </x:is>
      </x:c>
      <x:c r="M14" s="9" t="inlineStr">
        <x:is>
          <x:t xml:space="preserve">UNTESTED</x:t>
        </x:is>
      </x:c>
      <x:c r="N14" s="5" t="inlineStr">
        <x:is>
          <x:t xml:space="preserve">adaptive tutoring; curriculum planning; quiz generation; context retention</x:t>
        </x:is>
      </x:c>
      <x:c r="O14" s="5" t="inlineStr">
        <x:is>
          <x:t xml:space="preserve">Low</x:t>
        </x:is>
      </x:c>
      <x:c r="P14" s="5" t="inlineStr">
        <x:is>
          <x:t xml:space="preserve">High</x:t>
        </x:is>
      </x:c>
      <x:c r="Q14" s="5" t="inlineStr">
        <x:is>
          <x:t xml:space="preserve">Low</x:t>
        </x:is>
      </x:c>
      <x:c r="R14" s="5" t="inlineStr">
        <x:is>
          <x:t xml:space="preserve">Low</x:t>
        </x:is>
      </x:c>
      <x:c r="S14" s="5" t="inlineStr">
        <x:is>
          <x:t xml:space="preserve">Low</x:t>
        </x:is>
      </x:c>
      <x:c r="T14" s="5" t="inlineStr">
        <x:is>
          <x:t xml:space="preserve">ChatGPT primary</x:t>
        </x:is>
      </x:c>
      <x:c r="U14" s="5" t="inlineStr">
        <x:is>
          <x:t xml:space="preserve">Easy</x:t>
        </x:is>
      </x:c>
      <x:c r="V14" s="10" t="n">
        <x:v>1</x:v>
      </x:c>
      <x:c r="W14" s="5" t="inlineStr">
        <x:is>
          <x:t xml:space="preserve">Interactive tutoring session + quality review</x:t>
        </x:is>
      </x:c>
      <x:c r="X14" s="5" t="inlineStr">
        <x:is>
          <x:t xml:space="preserve">lesson / plan / quiz / explanation</x:t>
        </x:is>
      </x:c>
      <x:c r="Y14" s="5" t="inlineStr">
        <x:is>
          <x:t xml:space="preserve">Teaching is accurate, adaptive, and improves understanding rather than over-answering.</x:t>
        </x:is>
      </x:c>
      <x:c r="Z14" s="5" t="inlineStr">
        <x:is>
          <x:t xml:space="preserve">Wrong explanations, over-helping, no adaptation, or generic curriculum.</x:t>
        </x:is>
      </x:c>
      <x:c r="AA14" s="5" t="inlineStr">
        <x:is>
          <x:t xml:space="preserve">tutor mode / memory / scaffolding logic</x:t>
        </x:is>
      </x:c>
      <x:c r="AB14" s="5" t="inlineStr">
        <x:is>
          <x:t xml:space="preserve"/>
        </x:is>
      </x:c>
      <x:c r="AC14" s="5" t="inlineStr">
        <x:is>
          <x:t xml:space="preserve">OpenAI practical guidance includes tutoring; HEPI 2025 says 88% of students use GenAI for assessments, often to explain concepts and summarize articles.</x:t>
        </x:is>
      </x:c>
      <x:c r="AD14" s="5" t="inlineStr">
        <x:is>
          <x:t xml:space="preserve">OpenAI How People Use ChatGPT paper; HEPI Student Generative AI Survey 2025; Brookings 2026 tutoring article</x:t>
        </x:is>
      </x:c>
      <x:c r="AE14" s="11">
        <x:f>IF(O14="High",20,IF(O14="Medium",10,IF(O14="Low",5,0)))+IF(P14="High",20,IF(P14="Medium",10,IF(P14="Low",5,0)))+IF(Q14="High",20,IF(Q14="Medium",10,IF(Q14="Low",5,0)))+IF(R14="High",20,IF(R14="Medium",10,IF(R14="Low",5,0)))+IF(S14="High",20,IF(S14="Medium",10,IF(S14="Low",5,0)))</x:f>
        <x:v>40</x:v>
      </x:c>
      <x:c r="AF14" s="12">
        <x:f>ROUND(H14*0.30+J14*0.25+K14*0.20+(100-AE14)*0.10+(100-(V14*20))*0.15,0)</x:f>
        <x:v>81</x:v>
      </x:c>
      <x:c r="AG14" s="13" t="str">
        <x:f>IF(AF14&gt;=80,"Batch 1",IF(AF14&gt;=70,"Batch 2",IF(AF14&gt;=60,"Batch 3","Backlog")))</x:f>
        <x:v>Batch 1</x:v>
      </x:c>
      <x:c r="AH14" t="inlineStr">
        <x:is>
          <x:t xml:space="preserve"/>
        </x:is>
      </x:c>
    </x:row>
    <x:row r="15">
      <x:c r="A15" s="5" t="inlineStr">
        <x:is>
          <x:t xml:space="preserve">GPO-COD-05</x:t>
        </x:is>
      </x:c>
      <x:c r="B15" s="5" t="n">
        <x:v>11</x:v>
      </x:c>
      <x:c r="C15" s="5" t="inlineStr">
        <x:is>
          <x:t xml:space="preserve">Code &amp; Product Engineering</x:t>
        </x:is>
      </x:c>
      <x:c r="D15" s="5" t="inlineStr">
        <x:is>
          <x:t xml:space="preserve">Build</x:t>
        </x:is>
      </x:c>
      <x:c r="E15" s="5" t="inlineStr">
        <x:is>
          <x:t xml:space="preserve">Core 150</x:t>
        </x:is>
      </x:c>
      <x:c r="F15" s="5" t="n">
        <x:v>5</x:v>
      </x:c>
      <x:c r="G15" s="5" t="inlineStr">
        <x:is>
          <x:t xml:space="preserve">Generate a step-by-step migration plan from legacy stack to modern stack with rollback safety.</x:t>
        </x:is>
      </x:c>
      <x:c r="H15" s="6" t="n">
        <x:v>77</x:v>
      </x:c>
      <x:c r="I15" s="6" t="n">
        <x:v>77</x:v>
      </x:c>
      <x:c r="J15" s="7" t="n">
        <x:v>89</x:v>
      </x:c>
      <x:c r="K15" s="7" t="n">
        <x:v>82</x:v>
      </x:c>
      <x:c r="L15" s="8" t="inlineStr">
        <x:is>
          <x:t xml:space="preserve">UNTESTED</x:t>
        </x:is>
      </x:c>
      <x:c r="M15" s="9" t="inlineStr">
        <x:is>
          <x:t xml:space="preserve">UNTESTED</x:t>
        </x:is>
      </x:c>
      <x:c r="N15" s="5" t="inlineStr">
        <x:is>
          <x:t xml:space="preserve">routing; code reasoning; repo context; file edit; test execution; structured output</x:t>
        </x:is>
      </x:c>
      <x:c r="O15" s="5" t="inlineStr">
        <x:is>
          <x:t xml:space="preserve">No</x:t>
        </x:is>
      </x:c>
      <x:c r="P15" s="5" t="inlineStr">
        <x:is>
          <x:t xml:space="preserve">Medium</x:t>
        </x:is>
      </x:c>
      <x:c r="Q15" s="5" t="inlineStr">
        <x:is>
          <x:t xml:space="preserve">High</x:t>
        </x:is>
      </x:c>
      <x:c r="R15" s="5" t="inlineStr">
        <x:is>
          <x:t xml:space="preserve">Medium</x:t>
        </x:is>
      </x:c>
      <x:c r="S15" s="5" t="inlineStr">
        <x:is>
          <x:t xml:space="preserve">Low</x:t>
        </x:is>
      </x:c>
      <x:c r="T15" s="5" t="inlineStr">
        <x:is>
          <x:t xml:space="preserve">Claude Code primary; ChatGPT critique; web optional</x:t>
        </x:is>
      </x:c>
      <x:c r="U15" s="5" t="inlineStr">
        <x:is>
          <x:t xml:space="preserve">Easy</x:t>
        </x:is>
      </x:c>
      <x:c r="V15" s="10" t="n">
        <x:v>1</x:v>
      </x:c>
      <x:c r="W15" s="5" t="inlineStr">
        <x:is>
          <x:t xml:space="preserve">Live execution + code diff + output review</x:t>
        </x:is>
      </x:c>
      <x:c r="X15" s="5" t="inlineStr">
        <x:is>
          <x:t xml:space="preserve">code patch / spec / architecture / debug report</x:t>
        </x:is>
      </x:c>
      <x:c r="Y15" s="5" t="inlineStr">
        <x:is>
          <x:t xml:space="preserve">Produces correct technical plan or working code without breaking current behavior.</x:t>
        </x:is>
      </x:c>
      <x:c r="Z15" s="5" t="inlineStr">
        <x:is>
          <x:t xml:space="preserve">Hallucinated codebase facts, unsafe refactor, broken tests, or vague technical output.</x:t>
        </x:is>
      </x:c>
      <x:c r="AA15" s="5" t="inlineStr">
        <x:is>
          <x:t xml:space="preserve">routing / tool wiring / repo context / codegen guardrails</x:t>
        </x:is>
      </x:c>
      <x:c r="AB15" s="5" t="inlineStr">
        <x:is>
          <x:t xml:space="preserve"/>
        </x:is>
      </x:c>
      <x:c r="AC15" s="5" t="inlineStr">
        <x:is>
          <x:t xml:space="preserve">OpenAI/common use: writing+coding; Menlo enterprise coding is 55% of departmental AI spend; Deloitte top app: work assistance.</x:t>
        </x:is>
      </x:c>
      <x:c r="AD15" s="5" t="inlineStr">
        <x:is>
          <x:t xml:space="preserve">OpenAI GPT-5 / How People Use ChatGPT; Menlo State of GenAI in Enterprise 2025; Deloitte Connected Consumer 2025</x:t>
        </x:is>
      </x:c>
      <x:c r="AE15" s="11">
        <x:f>IF(O15="High",20,IF(O15="Medium",10,IF(O15="Low",5,0)))+IF(P15="High",20,IF(P15="Medium",10,IF(P15="Low",5,0)))+IF(Q15="High",20,IF(Q15="Medium",10,IF(Q15="Low",5,0)))+IF(R15="High",20,IF(R15="Medium",10,IF(R15="Low",5,0)))+IF(S15="High",20,IF(S15="Medium",10,IF(S15="Low",5,0)))</x:f>
        <x:v>45</x:v>
      </x:c>
      <x:c r="AF15" s="12">
        <x:f>ROUND(H15*0.30+J15*0.25+K15*0.20+(100-AE15)*0.10+(100-(V15*20))*0.15,0)</x:f>
        <x:v>79</x:v>
      </x:c>
      <x:c r="AG15" s="13" t="str">
        <x:f>IF(AF15&gt;=80,"Batch 1",IF(AF15&gt;=70,"Batch 2",IF(AF15&gt;=60,"Batch 3","Backlog")))</x:f>
        <x:v>Batch 2</x:v>
      </x:c>
      <x:c r="AH15" t="inlineStr">
        <x:is>
          <x:t xml:space="preserve"/>
        </x:is>
      </x:c>
    </x:row>
    <x:row r="16">
      <x:c r="A16" s="5" t="inlineStr">
        <x:is>
          <x:t xml:space="preserve">GPO-RES-02</x:t>
        </x:is>
      </x:c>
      <x:c r="B16" s="5" t="n">
        <x:v>12</x:v>
      </x:c>
      <x:c r="C16" s="5" t="inlineStr">
        <x:is>
          <x:t xml:space="preserve">Research &amp; Analysis</x:t>
        </x:is>
      </x:c>
      <x:c r="D16" s="5" t="inlineStr">
        <x:is>
          <x:t xml:space="preserve">Think</x:t>
        </x:is>
      </x:c>
      <x:c r="E16" s="5" t="inlineStr">
        <x:is>
          <x:t xml:space="preserve">Core 150</x:t>
        </x:is>
      </x:c>
      <x:c r="F16" s="5" t="n">
        <x:v>2</x:v>
      </x:c>
      <x:c r="G16" s="5" t="inlineStr">
        <x:is>
          <x:t xml:space="preserve">Compare option A and option B with current facts, tradeoffs, and recommendation.</x:t>
        </x:is>
      </x:c>
      <x:c r="H16" s="6" t="n">
        <x:v>78</x:v>
      </x:c>
      <x:c r="I16" s="6" t="n">
        <x:v>78</x:v>
      </x:c>
      <x:c r="J16" s="7" t="n">
        <x:v>87</x:v>
      </x:c>
      <x:c r="K16" s="7" t="n">
        <x:v>82</x:v>
      </x:c>
      <x:c r="L16" s="8" t="inlineStr">
        <x:is>
          <x:t xml:space="preserve">UNTESTED</x:t>
        </x:is>
      </x:c>
      <x:c r="M16" s="9" t="inlineStr">
        <x:is>
          <x:t xml:space="preserve">UNTESTED</x:t>
        </x:is>
      </x:c>
      <x:c r="N16" s="5" t="inlineStr">
        <x:is>
          <x:t xml:space="preserve">web research; synthesis; citation discipline; decision framing</x:t>
        </x:is>
      </x:c>
      <x:c r="O16" s="5" t="inlineStr">
        <x:is>
          <x:t xml:space="preserve">High</x:t>
        </x:is>
      </x:c>
      <x:c r="P16" s="5" t="inlineStr">
        <x:is>
          <x:t xml:space="preserve">Medium</x:t>
        </x:is>
      </x:c>
      <x:c r="Q16" s="5" t="inlineStr">
        <x:is>
          <x:t xml:space="preserve">Medium</x:t>
        </x:is>
      </x:c>
      <x:c r="R16" s="5" t="inlineStr">
        <x:is>
          <x:t xml:space="preserve">Medium</x:t>
        </x:is>
      </x:c>
      <x:c r="S16" s="5" t="inlineStr">
        <x:is>
          <x:t xml:space="preserve">Low</x:t>
        </x:is>
      </x:c>
      <x:c r="T16" s="5" t="inlineStr">
        <x:is>
          <x:t xml:space="preserve">ChatGPT with web; Claude for synthesis</x:t>
        </x:is>
      </x:c>
      <x:c r="U16" s="5" t="inlineStr">
        <x:is>
          <x:t xml:space="preserve">Easy</x:t>
        </x:is>
      </x:c>
      <x:c r="V16" s="10" t="n">
        <x:v>1</x:v>
      </x:c>
      <x:c r="W16" s="5" t="inlineStr">
        <x:is>
          <x:t xml:space="preserve">Live research + source validation + recommendation review</x:t>
        </x:is>
      </x:c>
      <x:c r="X16" s="5" t="inlineStr">
        <x:is>
          <x:t xml:space="preserve">brief / comparison / decision memo / risk analysis</x:t>
        </x:is>
      </x:c>
      <x:c r="Y16" s="5" t="inlineStr">
        <x:is>
          <x:t xml:space="preserve">Accurate synthesis with evidence, tradeoffs, and a concrete recommendation.</x:t>
        </x:is>
      </x:c>
      <x:c r="Z16" s="5" t="inlineStr">
        <x:is>
          <x:t xml:space="preserve">Stale facts, no citations, weak reasoning, or surface-level synthesis.</x:t>
        </x:is>
      </x:c>
      <x:c r="AA16" s="5" t="inlineStr">
        <x:is>
          <x:t xml:space="preserve">web integration / citation enforcement / analysis rubric</x:t>
        </x:is>
      </x:c>
      <x:c r="AB16" s="5" t="inlineStr">
        <x:is>
          <x:t xml:space="preserve"/>
        </x:is>
      </x:c>
      <x:c r="AC16" s="5" t="inlineStr">
        <x:is>
          <x:t xml:space="preserve">OpenAI usage paper: Seeking Information is in top 3 categories; work/advice/search are common across Deloitte and OpenAI.</x:t>
        </x:is>
      </x:c>
      <x:c r="AD16" s="5" t="inlineStr">
        <x:is>
          <x:t xml:space="preserve">OpenAI How People Use ChatGPT paper; Deloitte Connected Consumer 2025</x:t>
        </x:is>
      </x:c>
      <x:c r="AE16" s="11">
        <x:f>IF(O16="High",20,IF(O16="Medium",10,IF(O16="Low",5,0)))+IF(P16="High",20,IF(P16="Medium",10,IF(P16="Low",5,0)))+IF(Q16="High",20,IF(Q16="Medium",10,IF(Q16="Low",5,0)))+IF(R16="High",20,IF(R16="Medium",10,IF(R16="Low",5,0)))+IF(S16="High",20,IF(S16="Medium",10,IF(S16="Low",5,0)))</x:f>
        <x:v>55</x:v>
      </x:c>
      <x:c r="AF16" s="12">
        <x:f>ROUND(H16*0.30+J16*0.25+K16*0.20+(100-AE16)*0.10+(100-(V16*20))*0.15,0)</x:f>
        <x:v>78</x:v>
      </x:c>
      <x:c r="AG16" s="13" t="str">
        <x:f>IF(AF16&gt;=80,"Batch 1",IF(AF16&gt;=70,"Batch 2",IF(AF16&gt;=60,"Batch 3","Backlog")))</x:f>
        <x:v>Batch 2</x:v>
      </x:c>
      <x:c r="AH16" t="inlineStr">
        <x:is>
          <x:t xml:space="preserve"/>
        </x:is>
      </x:c>
    </x:row>
    <x:row r="17">
      <x:c r="A17" s="5" t="inlineStr">
        <x:is>
          <x:t xml:space="preserve">GPO-WRI-05</x:t>
        </x:is>
      </x:c>
      <x:c r="B17" s="5" t="n">
        <x:v>13</x:v>
      </x:c>
      <x:c r="C17" s="5" t="inlineStr">
        <x:is>
          <x:t xml:space="preserve">Writing &amp; Documentation</x:t>
        </x:is>
      </x:c>
      <x:c r="D17" s="5" t="inlineStr">
        <x:is>
          <x:t xml:space="preserve">Create</x:t>
        </x:is>
      </x:c>
      <x:c r="E17" s="5" t="inlineStr">
        <x:is>
          <x:t xml:space="preserve">Core 150</x:t>
        </x:is>
      </x:c>
      <x:c r="F17" s="5" t="n">
        <x:v>5</x:v>
      </x:c>
      <x:c r="G17" s="5" t="inlineStr">
        <x:is>
          <x:t xml:space="preserve">Write a clear SOP/runbook for the process that another team can execute without me.</x:t>
        </x:is>
      </x:c>
      <x:c r="H17" s="6" t="n">
        <x:v>75</x:v>
      </x:c>
      <x:c r="I17" s="6" t="n">
        <x:v>75</x:v>
      </x:c>
      <x:c r="J17" s="7" t="n">
        <x:v>91</x:v>
      </x:c>
      <x:c r="K17" s="7" t="n">
        <x:v>82</x:v>
      </x:c>
      <x:c r="L17" s="8" t="inlineStr">
        <x:is>
          <x:t xml:space="preserve">UNTESTED</x:t>
        </x:is>
      </x:c>
      <x:c r="M17" s="9" t="inlineStr">
        <x:is>
          <x:t xml:space="preserve">UNTESTED</x:t>
        </x:is>
      </x:c>
      <x:c r="N17" s="5" t="inlineStr">
        <x:is>
          <x:t xml:space="preserve">writing quality; summarization; style control; structured artifacts</x:t>
        </x:is>
      </x:c>
      <x:c r="O17" s="5" t="inlineStr">
        <x:is>
          <x:t xml:space="preserve">Low</x:t>
        </x:is>
      </x:c>
      <x:c r="P17" s="5" t="inlineStr">
        <x:is>
          <x:t xml:space="preserve">Medium</x:t>
        </x:is>
      </x:c>
      <x:c r="Q17" s="5" t="inlineStr">
        <x:is>
          <x:t xml:space="preserve">Low</x:t>
        </x:is>
      </x:c>
      <x:c r="R17" s="5" t="inlineStr">
        <x:is>
          <x:t xml:space="preserve">Low</x:t>
        </x:is>
      </x:c>
      <x:c r="S17" s="5" t="inlineStr">
        <x:is>
          <x:t xml:space="preserve">Low</x:t>
        </x:is>
      </x:c>
      <x:c r="T17" s="5" t="inlineStr">
        <x:is>
          <x:t xml:space="preserve">ChatGPT or Claude; human review optional</x:t>
        </x:is>
      </x:c>
      <x:c r="U17" s="5" t="inlineStr">
        <x:is>
          <x:t xml:space="preserve">Easy</x:t>
        </x:is>
      </x:c>
      <x:c r="V17" s="10" t="n">
        <x:v>1</x:v>
      </x:c>
      <x:c r="W17" s="5" t="inlineStr">
        <x:is>
          <x:t xml:space="preserve">Prompt execution + artifact quality review</x:t>
        </x:is>
      </x:c>
      <x:c r="X17" s="5" t="inlineStr">
        <x:is>
          <x:t xml:space="preserve">doc / memo / email / FAQ / summary</x:t>
        </x:is>
      </x:c>
      <x:c r="Y17" s="5" t="inlineStr">
        <x:is>
          <x:t xml:space="preserve">Output is clear, tailored, structurally sound, and immediately usable.</x:t>
        </x:is>
      </x:c>
      <x:c r="Z17" s="5" t="inlineStr">
        <x:is>
          <x:t xml:space="preserve">Generic tone, missing context, weak structure, or wrong audience level.</x:t>
        </x:is>
      </x:c>
      <x:c r="AA17" s="5" t="inlineStr">
        <x:is>
          <x:t xml:space="preserve">prompt pack / style guidance / output schema</x:t>
        </x:is>
      </x:c>
      <x:c r="AB17" s="5" t="inlineStr">
        <x:is>
          <x:t xml:space="preserve"/>
        </x:is>
      </x:c>
      <x:c r="AC17" s="5" t="inlineStr">
        <x:is>
          <x:t xml:space="preserve">OpenAI usage paper: Writing is in top 3 categories; Menlo consumer AI says 19% use AI to write emails and 18% get writing support.</x:t>
        </x:is>
      </x:c>
      <x:c r="AD17" s="5" t="inlineStr">
        <x:is>
          <x:t xml:space="preserve">OpenAI How People Use ChatGPT paper; Menlo State of Consumer AI 2025</x:t>
        </x:is>
      </x:c>
      <x:c r="AE17" s="11">
        <x:f>IF(O17="High",20,IF(O17="Medium",10,IF(O17="Low",5,0)))+IF(P17="High",20,IF(P17="Medium",10,IF(P17="Low",5,0)))+IF(Q17="High",20,IF(Q17="Medium",10,IF(Q17="Low",5,0)))+IF(R17="High",20,IF(R17="Medium",10,IF(R17="Low",5,0)))+IF(S17="High",20,IF(S17="Medium",10,IF(S17="Low",5,0)))</x:f>
        <x:v>30</x:v>
      </x:c>
      <x:c r="AF17" s="12">
        <x:f>ROUND(H17*0.30+J17*0.25+K17*0.20+(100-AE17)*0.10+(100-(V17*20))*0.15,0)</x:f>
        <x:v>81</x:v>
      </x:c>
      <x:c r="AG17" s="13" t="str">
        <x:f>IF(AF17&gt;=80,"Batch 1",IF(AF17&gt;=70,"Batch 2",IF(AF17&gt;=60,"Batch 3","Backlog")))</x:f>
        <x:v>Batch 1</x:v>
      </x:c>
      <x:c r="AH17" t="inlineStr">
        <x:is>
          <x:t xml:space="preserve"/>
        </x:is>
      </x:c>
    </x:row>
    <x:row r="18">
      <x:c r="A18" s="5" t="inlineStr">
        <x:is>
          <x:t xml:space="preserve">GPO-LEA-02</x:t>
        </x:is>
      </x:c>
      <x:c r="B18" s="5" t="n">
        <x:v>14</x:v>
      </x:c>
      <x:c r="C18" s="5" t="inlineStr">
        <x:is>
          <x:t xml:space="preserve">Learning &amp; Tutoring</x:t>
        </x:is>
      </x:c>
      <x:c r="D18" s="5" t="inlineStr">
        <x:is>
          <x:t xml:space="preserve">Grow</x:t>
        </x:is>
      </x:c>
      <x:c r="E18" s="5" t="inlineStr">
        <x:is>
          <x:t xml:space="preserve">Core 150</x:t>
        </x:is>
      </x:c>
      <x:c r="F18" s="5" t="n">
        <x:v>2</x:v>
      </x:c>
      <x:c r="G18" s="5" t="inlineStr">
        <x:is>
          <x:t xml:space="preserve">Explain this concept I’m stuck on as if you were my private tutor.</x:t>
        </x:is>
      </x:c>
      <x:c r="H18" s="6" t="n">
        <x:v>76</x:v>
      </x:c>
      <x:c r="I18" s="6" t="n">
        <x:v>76</x:v>
      </x:c>
      <x:c r="J18" s="7" t="n">
        <x:v>89</x:v>
      </x:c>
      <x:c r="K18" s="7" t="n">
        <x:v>82</x:v>
      </x:c>
      <x:c r="L18" s="8" t="inlineStr">
        <x:is>
          <x:t xml:space="preserve">UNTESTED</x:t>
        </x:is>
      </x:c>
      <x:c r="M18" s="9" t="inlineStr">
        <x:is>
          <x:t xml:space="preserve">UNTESTED</x:t>
        </x:is>
      </x:c>
      <x:c r="N18" s="5" t="inlineStr">
        <x:is>
          <x:t xml:space="preserve">adaptive tutoring; curriculum planning; quiz generation; context retention</x:t>
        </x:is>
      </x:c>
      <x:c r="O18" s="5" t="inlineStr">
        <x:is>
          <x:t xml:space="preserve">Low</x:t>
        </x:is>
      </x:c>
      <x:c r="P18" s="5" t="inlineStr">
        <x:is>
          <x:t xml:space="preserve">High</x:t>
        </x:is>
      </x:c>
      <x:c r="Q18" s="5" t="inlineStr">
        <x:is>
          <x:t xml:space="preserve">Low</x:t>
        </x:is>
      </x:c>
      <x:c r="R18" s="5" t="inlineStr">
        <x:is>
          <x:t xml:space="preserve">Low</x:t>
        </x:is>
      </x:c>
      <x:c r="S18" s="5" t="inlineStr">
        <x:is>
          <x:t xml:space="preserve">Low</x:t>
        </x:is>
      </x:c>
      <x:c r="T18" s="5" t="inlineStr">
        <x:is>
          <x:t xml:space="preserve">ChatGPT primary</x:t>
        </x:is>
      </x:c>
      <x:c r="U18" s="5" t="inlineStr">
        <x:is>
          <x:t xml:space="preserve">Easy</x:t>
        </x:is>
      </x:c>
      <x:c r="V18" s="10" t="n">
        <x:v>1</x:v>
      </x:c>
      <x:c r="W18" s="5" t="inlineStr">
        <x:is>
          <x:t xml:space="preserve">Interactive tutoring session + quality review</x:t>
        </x:is>
      </x:c>
      <x:c r="X18" s="5" t="inlineStr">
        <x:is>
          <x:t xml:space="preserve">lesson / plan / quiz / explanation</x:t>
        </x:is>
      </x:c>
      <x:c r="Y18" s="5" t="inlineStr">
        <x:is>
          <x:t xml:space="preserve">Teaching is accurate, adaptive, and improves understanding rather than over-answering.</x:t>
        </x:is>
      </x:c>
      <x:c r="Z18" s="5" t="inlineStr">
        <x:is>
          <x:t xml:space="preserve">Wrong explanations, over-helping, no adaptation, or generic curriculum.</x:t>
        </x:is>
      </x:c>
      <x:c r="AA18" s="5" t="inlineStr">
        <x:is>
          <x:t xml:space="preserve">tutor mode / memory / scaffolding logic</x:t>
        </x:is>
      </x:c>
      <x:c r="AB18" s="5" t="inlineStr">
        <x:is>
          <x:t xml:space="preserve"/>
        </x:is>
      </x:c>
      <x:c r="AC18" s="5" t="inlineStr">
        <x:is>
          <x:t xml:space="preserve">OpenAI practical guidance includes tutoring; HEPI 2025 says 88% of students use GenAI for assessments, often to explain concepts and summarize articles.</x:t>
        </x:is>
      </x:c>
      <x:c r="AD18" s="5" t="inlineStr">
        <x:is>
          <x:t xml:space="preserve">OpenAI How People Use ChatGPT paper; HEPI Student Generative AI Survey 2025; Brookings 2026 tutoring article</x:t>
        </x:is>
      </x:c>
      <x:c r="AE18" s="11">
        <x:f>IF(O18="High",20,IF(O18="Medium",10,IF(O18="Low",5,0)))+IF(P18="High",20,IF(P18="Medium",10,IF(P18="Low",5,0)))+IF(Q18="High",20,IF(Q18="Medium",10,IF(Q18="Low",5,0)))+IF(R18="High",20,IF(R18="Medium",10,IF(R18="Low",5,0)))+IF(S18="High",20,IF(S18="Medium",10,IF(S18="Low",5,0)))</x:f>
        <x:v>40</x:v>
      </x:c>
      <x:c r="AF18" s="12">
        <x:f>ROUND(H18*0.30+J18*0.25+K18*0.20+(100-AE18)*0.10+(100-(V18*20))*0.15,0)</x:f>
        <x:v>79</x:v>
      </x:c>
      <x:c r="AG18" s="13" t="str">
        <x:f>IF(AF18&gt;=80,"Batch 1",IF(AF18&gt;=70,"Batch 2",IF(AF18&gt;=60,"Batch 3","Backlog")))</x:f>
        <x:v>Batch 2</x:v>
      </x:c>
      <x:c r="AH18" t="inlineStr">
        <x:is>
          <x:t xml:space="preserve"/>
        </x:is>
      </x:c>
    </x:row>
    <x:row r="19">
      <x:c r="A19" s="5" t="inlineStr">
        <x:is>
          <x:t xml:space="preserve">GPO-COD-06</x:t>
        </x:is>
      </x:c>
      <x:c r="B19" s="5" t="n">
        <x:v>15</x:v>
      </x:c>
      <x:c r="C19" s="5" t="inlineStr">
        <x:is>
          <x:t xml:space="preserve">Code &amp; Product Engineering</x:t>
        </x:is>
      </x:c>
      <x:c r="D19" s="5" t="inlineStr">
        <x:is>
          <x:t xml:space="preserve">Build</x:t>
        </x:is>
      </x:c>
      <x:c r="E19" s="5" t="inlineStr">
        <x:is>
          <x:t xml:space="preserve">Core 150</x:t>
        </x:is>
      </x:c>
      <x:c r="F19" s="5" t="n">
        <x:v>6</x:v>
      </x:c>
      <x:c r="G19" s="5" t="inlineStr">
        <x:is>
          <x:t xml:space="preserve">Review this PR/repo and identify security, scalability, and reliability risks before ship.</x:t>
        </x:is>
      </x:c>
      <x:c r="H19" s="6" t="n">
        <x:v>76</x:v>
      </x:c>
      <x:c r="I19" s="6" t="n">
        <x:v>76</x:v>
      </x:c>
      <x:c r="J19" s="7" t="n">
        <x:v>88</x:v>
      </x:c>
      <x:c r="K19" s="7" t="n">
        <x:v>81</x:v>
      </x:c>
      <x:c r="L19" s="8" t="inlineStr">
        <x:is>
          <x:t xml:space="preserve">UNTESTED</x:t>
        </x:is>
      </x:c>
      <x:c r="M19" s="9" t="inlineStr">
        <x:is>
          <x:t xml:space="preserve">UNTESTED</x:t>
        </x:is>
      </x:c>
      <x:c r="N19" s="5" t="inlineStr">
        <x:is>
          <x:t xml:space="preserve">routing; code reasoning; repo context; file edit; test execution; structured output</x:t>
        </x:is>
      </x:c>
      <x:c r="O19" s="5" t="inlineStr">
        <x:is>
          <x:t xml:space="preserve">No</x:t>
        </x:is>
      </x:c>
      <x:c r="P19" s="5" t="inlineStr">
        <x:is>
          <x:t xml:space="preserve">Medium</x:t>
        </x:is>
      </x:c>
      <x:c r="Q19" s="5" t="inlineStr">
        <x:is>
          <x:t xml:space="preserve">High</x:t>
        </x:is>
      </x:c>
      <x:c r="R19" s="5" t="inlineStr">
        <x:is>
          <x:t xml:space="preserve">Medium</x:t>
        </x:is>
      </x:c>
      <x:c r="S19" s="5" t="inlineStr">
        <x:is>
          <x:t xml:space="preserve">Low</x:t>
        </x:is>
      </x:c>
      <x:c r="T19" s="5" t="inlineStr">
        <x:is>
          <x:t xml:space="preserve">Claude Code primary; ChatGPT critique; web optional</x:t>
        </x:is>
      </x:c>
      <x:c r="U19" s="5" t="inlineStr">
        <x:is>
          <x:t xml:space="preserve">Easy</x:t>
        </x:is>
      </x:c>
      <x:c r="V19" s="10" t="n">
        <x:v>1</x:v>
      </x:c>
      <x:c r="W19" s="5" t="inlineStr">
        <x:is>
          <x:t xml:space="preserve">Live execution + code diff + output review</x:t>
        </x:is>
      </x:c>
      <x:c r="X19" s="5" t="inlineStr">
        <x:is>
          <x:t xml:space="preserve">code patch / spec / architecture / debug report</x:t>
        </x:is>
      </x:c>
      <x:c r="Y19" s="5" t="inlineStr">
        <x:is>
          <x:t xml:space="preserve">Produces correct technical plan or working code without breaking current behavior.</x:t>
        </x:is>
      </x:c>
      <x:c r="Z19" s="5" t="inlineStr">
        <x:is>
          <x:t xml:space="preserve">Hallucinated codebase facts, unsafe refactor, broken tests, or vague technical output.</x:t>
        </x:is>
      </x:c>
      <x:c r="AA19" s="5" t="inlineStr">
        <x:is>
          <x:t xml:space="preserve">routing / tool wiring / repo context / codegen guardrails</x:t>
        </x:is>
      </x:c>
      <x:c r="AB19" s="5" t="inlineStr">
        <x:is>
          <x:t xml:space="preserve"/>
        </x:is>
      </x:c>
      <x:c r="AC19" s="5" t="inlineStr">
        <x:is>
          <x:t xml:space="preserve">OpenAI/common use: writing+coding; Menlo enterprise coding is 55% of departmental AI spend; Deloitte top app: work assistance.</x:t>
        </x:is>
      </x:c>
      <x:c r="AD19" s="5" t="inlineStr">
        <x:is>
          <x:t xml:space="preserve">OpenAI GPT-5 / How People Use ChatGPT; Menlo State of GenAI in Enterprise 2025; Deloitte Connected Consumer 2025</x:t>
        </x:is>
      </x:c>
      <x:c r="AE19" s="11">
        <x:f>IF(O19="High",20,IF(O19="Medium",10,IF(O19="Low",5,0)))+IF(P19="High",20,IF(P19="Medium",10,IF(P19="Low",5,0)))+IF(Q19="High",20,IF(Q19="Medium",10,IF(Q19="Low",5,0)))+IF(R19="High",20,IF(R19="Medium",10,IF(R19="Low",5,0)))+IF(S19="High",20,IF(S19="Medium",10,IF(S19="Low",5,0)))</x:f>
        <x:v>45</x:v>
      </x:c>
      <x:c r="AF19" s="12">
        <x:f>ROUND(H19*0.30+J19*0.25+K19*0.20+(100-AE19)*0.10+(100-(V19*20))*0.15,0)</x:f>
        <x:v>79</x:v>
      </x:c>
      <x:c r="AG19" s="13" t="str">
        <x:f>IF(AF19&gt;=80,"Batch 1",IF(AF19&gt;=70,"Batch 2",IF(AF19&gt;=60,"Batch 3","Backlog")))</x:f>
        <x:v>Batch 2</x:v>
      </x:c>
      <x:c r="AH19" t="inlineStr">
        <x:is>
          <x:t xml:space="preserve"/>
        </x:is>
      </x:c>
    </x:row>
    <x:row r="20">
      <x:c r="A20" s="5" t="inlineStr">
        <x:is>
          <x:t xml:space="preserve">GPO-RES-03</x:t>
        </x:is>
      </x:c>
      <x:c r="B20" s="5" t="n">
        <x:v>16</x:v>
      </x:c>
      <x:c r="C20" s="5" t="inlineStr">
        <x:is>
          <x:t xml:space="preserve">Research &amp; Analysis</x:t>
        </x:is>
      </x:c>
      <x:c r="D20" s="5" t="inlineStr">
        <x:is>
          <x:t xml:space="preserve">Think</x:t>
        </x:is>
      </x:c>
      <x:c r="E20" s="5" t="inlineStr">
        <x:is>
          <x:t xml:space="preserve">Core 150</x:t>
        </x:is>
      </x:c>
      <x:c r="F20" s="5" t="n">
        <x:v>3</x:v>
      </x:c>
      <x:c r="G20" s="5" t="inlineStr">
        <x:is>
          <x:t xml:space="preserve">Give me a deep-dive on {topic} with the latest evidence, not surface-level fluff.</x:t>
        </x:is>
      </x:c>
      <x:c r="H20" s="6" t="n">
        <x:v>77</x:v>
      </x:c>
      <x:c r="I20" s="6" t="n">
        <x:v>77</x:v>
      </x:c>
      <x:c r="J20" s="7" t="n">
        <x:v>86</x:v>
      </x:c>
      <x:c r="K20" s="7" t="n">
        <x:v>81</x:v>
      </x:c>
      <x:c r="L20" s="8" t="inlineStr">
        <x:is>
          <x:t xml:space="preserve">UNTESTED</x:t>
        </x:is>
      </x:c>
      <x:c r="M20" s="9" t="inlineStr">
        <x:is>
          <x:t xml:space="preserve">UNTESTED</x:t>
        </x:is>
      </x:c>
      <x:c r="N20" s="5" t="inlineStr">
        <x:is>
          <x:t xml:space="preserve">web research; synthesis; citation discipline; decision framing</x:t>
        </x:is>
      </x:c>
      <x:c r="O20" s="5" t="inlineStr">
        <x:is>
          <x:t xml:space="preserve">High</x:t>
        </x:is>
      </x:c>
      <x:c r="P20" s="5" t="inlineStr">
        <x:is>
          <x:t xml:space="preserve">Medium</x:t>
        </x:is>
      </x:c>
      <x:c r="Q20" s="5" t="inlineStr">
        <x:is>
          <x:t xml:space="preserve">Medium</x:t>
        </x:is>
      </x:c>
      <x:c r="R20" s="5" t="inlineStr">
        <x:is>
          <x:t xml:space="preserve">Medium</x:t>
        </x:is>
      </x:c>
      <x:c r="S20" s="5" t="inlineStr">
        <x:is>
          <x:t xml:space="preserve">Low</x:t>
        </x:is>
      </x:c>
      <x:c r="T20" s="5" t="inlineStr">
        <x:is>
          <x:t xml:space="preserve">ChatGPT with web; Claude for synthesis</x:t>
        </x:is>
      </x:c>
      <x:c r="U20" s="5" t="inlineStr">
        <x:is>
          <x:t xml:space="preserve">Easy</x:t>
        </x:is>
      </x:c>
      <x:c r="V20" s="10" t="n">
        <x:v>1</x:v>
      </x:c>
      <x:c r="W20" s="5" t="inlineStr">
        <x:is>
          <x:t xml:space="preserve">Live research + source validation + recommendation review</x:t>
        </x:is>
      </x:c>
      <x:c r="X20" s="5" t="inlineStr">
        <x:is>
          <x:t xml:space="preserve">brief / comparison / decision memo / risk analysis</x:t>
        </x:is>
      </x:c>
      <x:c r="Y20" s="5" t="inlineStr">
        <x:is>
          <x:t xml:space="preserve">Accurate synthesis with evidence, tradeoffs, and a concrete recommendation.</x:t>
        </x:is>
      </x:c>
      <x:c r="Z20" s="5" t="inlineStr">
        <x:is>
          <x:t xml:space="preserve">Stale facts, no citations, weak reasoning, or surface-level synthesis.</x:t>
        </x:is>
      </x:c>
      <x:c r="AA20" s="5" t="inlineStr">
        <x:is>
          <x:t xml:space="preserve">web integration / citation enforcement / analysis rubric</x:t>
        </x:is>
      </x:c>
      <x:c r="AB20" s="5" t="inlineStr">
        <x:is>
          <x:t xml:space="preserve"/>
        </x:is>
      </x:c>
      <x:c r="AC20" s="5" t="inlineStr">
        <x:is>
          <x:t xml:space="preserve">OpenAI usage paper: Seeking Information is in top 3 categories; work/advice/search are common across Deloitte and OpenAI.</x:t>
        </x:is>
      </x:c>
      <x:c r="AD20" s="5" t="inlineStr">
        <x:is>
          <x:t xml:space="preserve">OpenAI How People Use ChatGPT paper; Deloitte Connected Consumer 2025</x:t>
        </x:is>
      </x:c>
      <x:c r="AE20" s="11">
        <x:f>IF(O20="High",20,IF(O20="Medium",10,IF(O20="Low",5,0)))+IF(P20="High",20,IF(P20="Medium",10,IF(P20="Low",5,0)))+IF(Q20="High",20,IF(Q20="Medium",10,IF(Q20="Low",5,0)))+IF(R20="High",20,IF(R20="Medium",10,IF(R20="Low",5,0)))+IF(S20="High",20,IF(S20="Medium",10,IF(S20="Low",5,0)))</x:f>
        <x:v>55</x:v>
      </x:c>
      <x:c r="AF20" s="12">
        <x:f>ROUND(H20*0.30+J20*0.25+K20*0.20+(100-AE20)*0.10+(100-(V20*20))*0.15,0)</x:f>
        <x:v>77</x:v>
      </x:c>
      <x:c r="AG20" s="13" t="str">
        <x:f>IF(AF20&gt;=80,"Batch 1",IF(AF20&gt;=70,"Batch 2",IF(AF20&gt;=60,"Batch 3","Backlog")))</x:f>
        <x:v>Batch 2</x:v>
      </x:c>
      <x:c r="AH20" t="inlineStr">
        <x:is>
          <x:t xml:space="preserve"/>
        </x:is>
      </x:c>
    </x:row>
    <x:row r="21">
      <x:c r="A21" s="5" t="inlineStr">
        <x:is>
          <x:t xml:space="preserve">GPO-WRI-06</x:t>
        </x:is>
      </x:c>
      <x:c r="B21" s="5" t="n">
        <x:v>17</x:v>
      </x:c>
      <x:c r="C21" s="5" t="inlineStr">
        <x:is>
          <x:t xml:space="preserve">Writing &amp; Documentation</x:t>
        </x:is>
      </x:c>
      <x:c r="D21" s="5" t="inlineStr">
        <x:is>
          <x:t xml:space="preserve">Create</x:t>
        </x:is>
      </x:c>
      <x:c r="E21" s="5" t="inlineStr">
        <x:is>
          <x:t xml:space="preserve">Core 150</x:t>
        </x:is>
      </x:c>
      <x:c r="F21" s="5" t="n">
        <x:v>6</x:v>
      </x:c>
      <x:c r="G21" s="5" t="inlineStr">
        <x:is>
          <x:t xml:space="preserve">Create board-level documentation for this project with goals, metrics, and open issues.</x:t>
        </x:is>
      </x:c>
      <x:c r="H21" s="6" t="n">
        <x:v>74</x:v>
      </x:c>
      <x:c r="I21" s="6" t="n">
        <x:v>74</x:v>
      </x:c>
      <x:c r="J21" s="7" t="n">
        <x:v>90</x:v>
      </x:c>
      <x:c r="K21" s="7" t="n">
        <x:v>81</x:v>
      </x:c>
      <x:c r="L21" s="8" t="inlineStr">
        <x:is>
          <x:t xml:space="preserve">UNTESTED</x:t>
        </x:is>
      </x:c>
      <x:c r="M21" s="9" t="inlineStr">
        <x:is>
          <x:t xml:space="preserve">UNTESTED</x:t>
        </x:is>
      </x:c>
      <x:c r="N21" s="5" t="inlineStr">
        <x:is>
          <x:t xml:space="preserve">writing quality; summarization; style control; structured artifacts</x:t>
        </x:is>
      </x:c>
      <x:c r="O21" s="5" t="inlineStr">
        <x:is>
          <x:t xml:space="preserve">Low</x:t>
        </x:is>
      </x:c>
      <x:c r="P21" s="5" t="inlineStr">
        <x:is>
          <x:t xml:space="preserve">Medium</x:t>
        </x:is>
      </x:c>
      <x:c r="Q21" s="5" t="inlineStr">
        <x:is>
          <x:t xml:space="preserve">Low</x:t>
        </x:is>
      </x:c>
      <x:c r="R21" s="5" t="inlineStr">
        <x:is>
          <x:t xml:space="preserve">Low</x:t>
        </x:is>
      </x:c>
      <x:c r="S21" s="5" t="inlineStr">
        <x:is>
          <x:t xml:space="preserve">Low</x:t>
        </x:is>
      </x:c>
      <x:c r="T21" s="5" t="inlineStr">
        <x:is>
          <x:t xml:space="preserve">ChatGPT or Claude; human review optional</x:t>
        </x:is>
      </x:c>
      <x:c r="U21" s="5" t="inlineStr">
        <x:is>
          <x:t xml:space="preserve">Easy</x:t>
        </x:is>
      </x:c>
      <x:c r="V21" s="10" t="n">
        <x:v>1</x:v>
      </x:c>
      <x:c r="W21" s="5" t="inlineStr">
        <x:is>
          <x:t xml:space="preserve">Prompt execution + artifact quality review</x:t>
        </x:is>
      </x:c>
      <x:c r="X21" s="5" t="inlineStr">
        <x:is>
          <x:t xml:space="preserve">doc / memo / email / FAQ / summary</x:t>
        </x:is>
      </x:c>
      <x:c r="Y21" s="5" t="inlineStr">
        <x:is>
          <x:t xml:space="preserve">Output is clear, tailored, structurally sound, and immediately usable.</x:t>
        </x:is>
      </x:c>
      <x:c r="Z21" s="5" t="inlineStr">
        <x:is>
          <x:t xml:space="preserve">Generic tone, missing context, weak structure, or wrong audience level.</x:t>
        </x:is>
      </x:c>
      <x:c r="AA21" s="5" t="inlineStr">
        <x:is>
          <x:t xml:space="preserve">prompt pack / style guidance / output schema</x:t>
        </x:is>
      </x:c>
      <x:c r="AB21" s="5" t="inlineStr">
        <x:is>
          <x:t xml:space="preserve"/>
        </x:is>
      </x:c>
      <x:c r="AC21" s="5" t="inlineStr">
        <x:is>
          <x:t xml:space="preserve">OpenAI usage paper: Writing is in top 3 categories; Menlo consumer AI says 19% use AI to write emails and 18% get writing support.</x:t>
        </x:is>
      </x:c>
      <x:c r="AD21" s="5" t="inlineStr">
        <x:is>
          <x:t xml:space="preserve">OpenAI How People Use ChatGPT paper; Menlo State of Consumer AI 2025</x:t>
        </x:is>
      </x:c>
      <x:c r="AE21" s="11">
        <x:f>IF(O21="High",20,IF(O21="Medium",10,IF(O21="Low",5,0)))+IF(P21="High",20,IF(P21="Medium",10,IF(P21="Low",5,0)))+IF(Q21="High",20,IF(Q21="Medium",10,IF(Q21="Low",5,0)))+IF(R21="High",20,IF(R21="Medium",10,IF(R21="Low",5,0)))+IF(S21="High",20,IF(S21="Medium",10,IF(S21="Low",5,0)))</x:f>
        <x:v>30</x:v>
      </x:c>
      <x:c r="AF21" s="12">
        <x:f>ROUND(H21*0.30+J21*0.25+K21*0.20+(100-AE21)*0.10+(100-(V21*20))*0.15,0)</x:f>
        <x:v>80</x:v>
      </x:c>
      <x:c r="AG21" s="13" t="str">
        <x:f>IF(AF21&gt;=80,"Batch 1",IF(AF21&gt;=70,"Batch 2",IF(AF21&gt;=60,"Batch 3","Backlog")))</x:f>
        <x:v>Batch 1</x:v>
      </x:c>
      <x:c r="AH21" t="inlineStr">
        <x:is>
          <x:t xml:space="preserve"/>
        </x:is>
      </x:c>
    </x:row>
    <x:row r="22">
      <x:c r="A22" s="5" t="inlineStr">
        <x:is>
          <x:t xml:space="preserve">GPO-LEA-03</x:t>
        </x:is>
      </x:c>
      <x:c r="B22" s="5" t="n">
        <x:v>18</x:v>
      </x:c>
      <x:c r="C22" s="5" t="inlineStr">
        <x:is>
          <x:t xml:space="preserve">Learning &amp; Tutoring</x:t>
        </x:is>
      </x:c>
      <x:c r="D22" s="5" t="inlineStr">
        <x:is>
          <x:t xml:space="preserve">Grow</x:t>
        </x:is>
      </x:c>
      <x:c r="E22" s="5" t="inlineStr">
        <x:is>
          <x:t xml:space="preserve">Core 150</x:t>
        </x:is>
      </x:c>
      <x:c r="F22" s="5" t="n">
        <x:v>3</x:v>
      </x:c>
      <x:c r="G22" s="5" t="inlineStr">
        <x:is>
          <x:t xml:space="preserve">Quiz me on {topic} adaptively until I actually master it.</x:t>
        </x:is>
      </x:c>
      <x:c r="H22" s="6" t="n">
        <x:v>75</x:v>
      </x:c>
      <x:c r="I22" s="6" t="n">
        <x:v>75</x:v>
      </x:c>
      <x:c r="J22" s="7" t="n">
        <x:v>88</x:v>
      </x:c>
      <x:c r="K22" s="7" t="n">
        <x:v>81</x:v>
      </x:c>
      <x:c r="L22" s="8" t="inlineStr">
        <x:is>
          <x:t xml:space="preserve">UNTESTED</x:t>
        </x:is>
      </x:c>
      <x:c r="M22" s="9" t="inlineStr">
        <x:is>
          <x:t xml:space="preserve">UNTESTED</x:t>
        </x:is>
      </x:c>
      <x:c r="N22" s="5" t="inlineStr">
        <x:is>
          <x:t xml:space="preserve">adaptive tutoring; curriculum planning; quiz generation; context retention</x:t>
        </x:is>
      </x:c>
      <x:c r="O22" s="5" t="inlineStr">
        <x:is>
          <x:t xml:space="preserve">Low</x:t>
        </x:is>
      </x:c>
      <x:c r="P22" s="5" t="inlineStr">
        <x:is>
          <x:t xml:space="preserve">High</x:t>
        </x:is>
      </x:c>
      <x:c r="Q22" s="5" t="inlineStr">
        <x:is>
          <x:t xml:space="preserve">Low</x:t>
        </x:is>
      </x:c>
      <x:c r="R22" s="5" t="inlineStr">
        <x:is>
          <x:t xml:space="preserve">Low</x:t>
        </x:is>
      </x:c>
      <x:c r="S22" s="5" t="inlineStr">
        <x:is>
          <x:t xml:space="preserve">Low</x:t>
        </x:is>
      </x:c>
      <x:c r="T22" s="5" t="inlineStr">
        <x:is>
          <x:t xml:space="preserve">ChatGPT primary</x:t>
        </x:is>
      </x:c>
      <x:c r="U22" s="5" t="inlineStr">
        <x:is>
          <x:t xml:space="preserve">Easy</x:t>
        </x:is>
      </x:c>
      <x:c r="V22" s="10" t="n">
        <x:v>1</x:v>
      </x:c>
      <x:c r="W22" s="5" t="inlineStr">
        <x:is>
          <x:t xml:space="preserve">Interactive tutoring session + quality review</x:t>
        </x:is>
      </x:c>
      <x:c r="X22" s="5" t="inlineStr">
        <x:is>
          <x:t xml:space="preserve">lesson / plan / quiz / explanation</x:t>
        </x:is>
      </x:c>
      <x:c r="Y22" s="5" t="inlineStr">
        <x:is>
          <x:t xml:space="preserve">Teaching is accurate, adaptive, and improves understanding rather than over-answering.</x:t>
        </x:is>
      </x:c>
      <x:c r="Z22" s="5" t="inlineStr">
        <x:is>
          <x:t xml:space="preserve">Wrong explanations, over-helping, no adaptation, or generic curriculum.</x:t>
        </x:is>
      </x:c>
      <x:c r="AA22" s="5" t="inlineStr">
        <x:is>
          <x:t xml:space="preserve">tutor mode / memory / scaffolding logic</x:t>
        </x:is>
      </x:c>
      <x:c r="AB22" s="5" t="inlineStr">
        <x:is>
          <x:t xml:space="preserve"/>
        </x:is>
      </x:c>
      <x:c r="AC22" s="5" t="inlineStr">
        <x:is>
          <x:t xml:space="preserve">OpenAI practical guidance includes tutoring; HEPI 2025 says 88% of students use GenAI for assessments, often to explain concepts and summarize articles.</x:t>
        </x:is>
      </x:c>
      <x:c r="AD22" s="5" t="inlineStr">
        <x:is>
          <x:t xml:space="preserve">OpenAI How People Use ChatGPT paper; HEPI Student Generative AI Survey 2025; Brookings 2026 tutoring article</x:t>
        </x:is>
      </x:c>
      <x:c r="AE22" s="11">
        <x:f>IF(O22="High",20,IF(O22="Medium",10,IF(O22="Low",5,0)))+IF(P22="High",20,IF(P22="Medium",10,IF(P22="Low",5,0)))+IF(Q22="High",20,IF(Q22="Medium",10,IF(Q22="Low",5,0)))+IF(R22="High",20,IF(R22="Medium",10,IF(R22="Low",5,0)))+IF(S22="High",20,IF(S22="Medium",10,IF(S22="Low",5,0)))</x:f>
        <x:v>40</x:v>
      </x:c>
      <x:c r="AF22" s="12">
        <x:f>ROUND(H22*0.30+J22*0.25+K22*0.20+(100-AE22)*0.10+(100-(V22*20))*0.15,0)</x:f>
        <x:v>79</x:v>
      </x:c>
      <x:c r="AG22" s="13" t="str">
        <x:f>IF(AF22&gt;=80,"Batch 1",IF(AF22&gt;=70,"Batch 2",IF(AF22&gt;=60,"Batch 3","Backlog")))</x:f>
        <x:v>Batch 2</x:v>
      </x:c>
      <x:c r="AH22" t="inlineStr">
        <x:is>
          <x:t xml:space="preserve"/>
        </x:is>
      </x:c>
    </x:row>
    <x:row r="23">
      <x:c r="A23" s="5" t="inlineStr">
        <x:is>
          <x:t xml:space="preserve">GPO-SCH-01</x:t>
        </x:is>
      </x:c>
      <x:c r="B23" s="5" t="n">
        <x:v>19</x:v>
      </x:c>
      <x:c r="C23" s="5" t="inlineStr">
        <x:is>
          <x:t xml:space="preserve">Scheduling &amp; Life Operations</x:t>
        </x:is>
      </x:c>
      <x:c r="D23" s="5" t="inlineStr">
        <x:is>
          <x:t xml:space="preserve">Operate</x:t>
        </x:is>
      </x:c>
      <x:c r="E23" s="5" t="inlineStr">
        <x:is>
          <x:t xml:space="preserve">Core 150</x:t>
        </x:is>
      </x:c>
      <x:c r="F23" s="5" t="n">
        <x:v>1</x:v>
      </x:c>
      <x:c r="G23" s="5" t="inlineStr">
        <x:is>
          <x:t xml:space="preserve">Plan my week so I can hit my main goal without burning out.</x:t>
        </x:is>
      </x:c>
      <x:c r="H23" s="6" t="n">
        <x:v>76</x:v>
      </x:c>
      <x:c r="I23" s="6" t="n">
        <x:v>76</x:v>
      </x:c>
      <x:c r="J23" s="7" t="n">
        <x:v>86</x:v>
      </x:c>
      <x:c r="K23" s="7" t="n">
        <x:v>80</x:v>
      </x:c>
      <x:c r="L23" s="8" t="inlineStr">
        <x:is>
          <x:t xml:space="preserve">UNTESTED</x:t>
        </x:is>
      </x:c>
      <x:c r="M23" s="9" t="inlineStr">
        <x:is>
          <x:t xml:space="preserve">UNTESTED</x:t>
        </x:is>
      </x:c>
      <x:c r="N23" s="5" t="inlineStr">
        <x:is>
          <x:t xml:space="preserve">task planning; prioritization; calendar reasoning; personal constraints handling</x:t>
        </x:is>
      </x:c>
      <x:c r="O23" s="5" t="inlineStr">
        <x:is>
          <x:t xml:space="preserve">Low</x:t>
        </x:is>
      </x:c>
      <x:c r="P23" s="5" t="inlineStr">
        <x:is>
          <x:t xml:space="preserve">High</x:t>
        </x:is>
      </x:c>
      <x:c r="Q23" s="5" t="inlineStr">
        <x:is>
          <x:t xml:space="preserve">Medium</x:t>
        </x:is>
      </x:c>
      <x:c r="R23" s="5" t="inlineStr">
        <x:is>
          <x:t xml:space="preserve">Low</x:t>
        </x:is>
      </x:c>
      <x:c r="S23" s="5" t="inlineStr">
        <x:is>
          <x:t xml:space="preserve">Low</x:t>
        </x:is>
      </x:c>
      <x:c r="T23" s="5" t="inlineStr">
        <x:is>
          <x:t xml:space="preserve">ChatGPT primary; calendar integrations later</x:t>
        </x:is>
      </x:c>
      <x:c r="U23" s="5" t="inlineStr">
        <x:is>
          <x:t xml:space="preserve">Easy</x:t>
        </x:is>
      </x:c>
      <x:c r="V23" s="10" t="n">
        <x:v>1</x:v>
      </x:c>
      <x:c r="W23" s="5" t="inlineStr">
        <x:is>
          <x:t xml:space="preserve">Scenario-based planning + operator utility review</x:t>
        </x:is>
      </x:c>
      <x:c r="X23" s="5" t="inlineStr">
        <x:is>
          <x:t xml:space="preserve">schedule / checklist / operating plan</x:t>
        </x:is>
      </x:c>
      <x:c r="Y23" s="5" t="inlineStr">
        <x:is>
          <x:t xml:space="preserve">Plan is realistic, prioritized, and executable under stated constraints.</x:t>
        </x:is>
      </x:c>
      <x:c r="Z23" s="5" t="inlineStr">
        <x:is>
          <x:t xml:space="preserve">Overpacked schedule, ignored constraints, or vague next steps.</x:t>
        </x:is>
      </x:c>
      <x:c r="AA23" s="5" t="inlineStr">
        <x:is>
          <x:t xml:space="preserve">planner engine / memory / calendar-tool integration</x:t>
        </x:is>
      </x:c>
      <x:c r="AB23" s="5" t="inlineStr">
        <x:is>
          <x:t xml:space="preserve"/>
        </x:is>
      </x:c>
      <x:c r="AC23" s="5" t="inlineStr">
        <x:is>
          <x:t xml:space="preserve">Menlo consumer AI: 18% use AI to manage to-do lists and 15% to organize notes; Zao-Sanders ranked 'Organise my life' #2.</x:t>
        </x:is>
      </x:c>
      <x:c r="AD23" s="5" t="inlineStr">
        <x:is>
          <x:t xml:space="preserve">Menlo State of Consumer AI 2025; Zao-Sanders Top-100 GenAI Use Cases 2025</x:t>
        </x:is>
      </x:c>
      <x:c r="AE23" s="11">
        <x:f>IF(O23="High",20,IF(O23="Medium",10,IF(O23="Low",5,0)))+IF(P23="High",20,IF(P23="Medium",10,IF(P23="Low",5,0)))+IF(Q23="High",20,IF(Q23="Medium",10,IF(Q23="Low",5,0)))+IF(R23="High",20,IF(R23="Medium",10,IF(R23="Low",5,0)))+IF(S23="High",20,IF(S23="Medium",10,IF(S23="Low",5,0)))</x:f>
        <x:v>45</x:v>
      </x:c>
      <x:c r="AF23" s="12">
        <x:f>ROUND(H23*0.30+J23*0.25+K23*0.20+(100-AE23)*0.10+(100-(V23*20))*0.15,0)</x:f>
        <x:v>78</x:v>
      </x:c>
      <x:c r="AG23" s="13" t="str">
        <x:f>IF(AF23&gt;=80,"Batch 1",IF(AF23&gt;=70,"Batch 2",IF(AF23&gt;=60,"Batch 3","Backlog")))</x:f>
        <x:v>Batch 2</x:v>
      </x:c>
      <x:c r="AH23" t="inlineStr">
        <x:is>
          <x:t xml:space="preserve"/>
        </x:is>
      </x:c>
    </x:row>
    <x:row r="24">
      <x:c r="A24" s="5" t="inlineStr">
        <x:is>
          <x:t xml:space="preserve">GPO-RES-04</x:t>
        </x:is>
      </x:c>
      <x:c r="B24" s="5" t="n">
        <x:v>20</x:v>
      </x:c>
      <x:c r="C24" s="5" t="inlineStr">
        <x:is>
          <x:t xml:space="preserve">Research &amp; Analysis</x:t>
        </x:is>
      </x:c>
      <x:c r="D24" s="5" t="inlineStr">
        <x:is>
          <x:t xml:space="preserve">Think</x:t>
        </x:is>
      </x:c>
      <x:c r="E24" s="5" t="inlineStr">
        <x:is>
          <x:t xml:space="preserve">Core 150</x:t>
        </x:is>
      </x:c>
      <x:c r="F24" s="5" t="n">
        <x:v>4</x:v>
      </x:c>
      <x:c r="G24" s="5" t="inlineStr">
        <x:is>
          <x:t xml:space="preserve">Analyze this business/model/strategy and tell me where the weak assumptions are.</x:t>
        </x:is>
      </x:c>
      <x:c r="H24" s="6" t="n">
        <x:v>75</x:v>
      </x:c>
      <x:c r="I24" s="6" t="n">
        <x:v>75</x:v>
      </x:c>
      <x:c r="J24" s="7" t="n">
        <x:v>86</x:v>
      </x:c>
      <x:c r="K24" s="7" t="n">
        <x:v>80</x:v>
      </x:c>
      <x:c r="L24" s="8" t="inlineStr">
        <x:is>
          <x:t xml:space="preserve">UNTESTED</x:t>
        </x:is>
      </x:c>
      <x:c r="M24" s="9" t="inlineStr">
        <x:is>
          <x:t xml:space="preserve">UNTESTED</x:t>
        </x:is>
      </x:c>
      <x:c r="N24" s="5" t="inlineStr">
        <x:is>
          <x:t xml:space="preserve">web research; synthesis; citation discipline; decision framing</x:t>
        </x:is>
      </x:c>
      <x:c r="O24" s="5" t="inlineStr">
        <x:is>
          <x:t xml:space="preserve">High</x:t>
        </x:is>
      </x:c>
      <x:c r="P24" s="5" t="inlineStr">
        <x:is>
          <x:t xml:space="preserve">Medium</x:t>
        </x:is>
      </x:c>
      <x:c r="Q24" s="5" t="inlineStr">
        <x:is>
          <x:t xml:space="preserve">Medium</x:t>
        </x:is>
      </x:c>
      <x:c r="R24" s="5" t="inlineStr">
        <x:is>
          <x:t xml:space="preserve">Medium</x:t>
        </x:is>
      </x:c>
      <x:c r="S24" s="5" t="inlineStr">
        <x:is>
          <x:t xml:space="preserve">Low</x:t>
        </x:is>
      </x:c>
      <x:c r="T24" s="5" t="inlineStr">
        <x:is>
          <x:t xml:space="preserve">ChatGPT with web; Claude for synthesis</x:t>
        </x:is>
      </x:c>
      <x:c r="U24" s="5" t="inlineStr">
        <x:is>
          <x:t xml:space="preserve">Easy</x:t>
        </x:is>
      </x:c>
      <x:c r="V24" s="10" t="n">
        <x:v>1</x:v>
      </x:c>
      <x:c r="W24" s="5" t="inlineStr">
        <x:is>
          <x:t xml:space="preserve">Live research + source validation + recommendation review</x:t>
        </x:is>
      </x:c>
      <x:c r="X24" s="5" t="inlineStr">
        <x:is>
          <x:t xml:space="preserve">brief / comparison / decision memo / risk analysis</x:t>
        </x:is>
      </x:c>
      <x:c r="Y24" s="5" t="inlineStr">
        <x:is>
          <x:t xml:space="preserve">Accurate synthesis with evidence, tradeoffs, and a concrete recommendation.</x:t>
        </x:is>
      </x:c>
      <x:c r="Z24" s="5" t="inlineStr">
        <x:is>
          <x:t xml:space="preserve">Stale facts, no citations, weak reasoning, or surface-level synthesis.</x:t>
        </x:is>
      </x:c>
      <x:c r="AA24" s="5" t="inlineStr">
        <x:is>
          <x:t xml:space="preserve">web integration / citation enforcement / analysis rubric</x:t>
        </x:is>
      </x:c>
      <x:c r="AB24" s="5" t="inlineStr">
        <x:is>
          <x:t xml:space="preserve"/>
        </x:is>
      </x:c>
      <x:c r="AC24" s="5" t="inlineStr">
        <x:is>
          <x:t xml:space="preserve">OpenAI usage paper: Seeking Information is in top 3 categories; work/advice/search are common across Deloitte and OpenAI.</x:t>
        </x:is>
      </x:c>
      <x:c r="AD24" s="5" t="inlineStr">
        <x:is>
          <x:t xml:space="preserve">OpenAI How People Use ChatGPT paper; Deloitte Connected Consumer 2025</x:t>
        </x:is>
      </x:c>
      <x:c r="AE24" s="11">
        <x:f>IF(O24="High",20,IF(O24="Medium",10,IF(O24="Low",5,0)))+IF(P24="High",20,IF(P24="Medium",10,IF(P24="Low",5,0)))+IF(Q24="High",20,IF(Q24="Medium",10,IF(Q24="Low",5,0)))+IF(R24="High",20,IF(R24="Medium",10,IF(R24="Low",5,0)))+IF(S24="High",20,IF(S24="Medium",10,IF(S24="Low",5,0)))</x:f>
        <x:v>55</x:v>
      </x:c>
      <x:c r="AF24" s="12">
        <x:f>ROUND(H24*0.30+J24*0.25+K24*0.20+(100-AE24)*0.10+(100-(V24*20))*0.15,0)</x:f>
        <x:v>77</x:v>
      </x:c>
      <x:c r="AG24" s="13" t="str">
        <x:f>IF(AF24&gt;=80,"Batch 1",IF(AF24&gt;=70,"Batch 2",IF(AF24&gt;=60,"Batch 3","Backlog")))</x:f>
        <x:v>Batch 2</x:v>
      </x:c>
      <x:c r="AH24" t="inlineStr">
        <x:is>
          <x:t xml:space="preserve"/>
        </x:is>
      </x:c>
    </x:row>
    <x:row r="25">
      <x:c r="A25" s="5" t="inlineStr">
        <x:is>
          <x:t xml:space="preserve">GPO-COD-07</x:t>
        </x:is>
      </x:c>
      <x:c r="B25" s="5" t="n">
        <x:v>21</x:v>
      </x:c>
      <x:c r="C25" s="5" t="inlineStr">
        <x:is>
          <x:t xml:space="preserve">Code &amp; Product Engineering</x:t>
        </x:is>
      </x:c>
      <x:c r="D25" s="5" t="inlineStr">
        <x:is>
          <x:t xml:space="preserve">Build</x:t>
        </x:is>
      </x:c>
      <x:c r="E25" s="5" t="inlineStr">
        <x:is>
          <x:t xml:space="preserve">Core 150</x:t>
        </x:is>
      </x:c>
      <x:c r="F25" s="5" t="n">
        <x:v>7</x:v>
      </x:c>
      <x:c r="G25" s="5" t="inlineStr">
        <x:is>
          <x:t xml:space="preserve">Create a working MVP for {idea} from prompt to deployable app.</x:t>
        </x:is>
      </x:c>
      <x:c r="H25" s="6" t="n">
        <x:v>74</x:v>
      </x:c>
      <x:c r="I25" s="6" t="n">
        <x:v>74</x:v>
      </x:c>
      <x:c r="J25" s="7" t="n">
        <x:v>87</x:v>
      </x:c>
      <x:c r="K25" s="7" t="n">
        <x:v>80</x:v>
      </x:c>
      <x:c r="L25" s="8" t="inlineStr">
        <x:is>
          <x:t xml:space="preserve">UNTESTED</x:t>
        </x:is>
      </x:c>
      <x:c r="M25" s="9" t="inlineStr">
        <x:is>
          <x:t xml:space="preserve">UNTESTED</x:t>
        </x:is>
      </x:c>
      <x:c r="N25" s="5" t="inlineStr">
        <x:is>
          <x:t xml:space="preserve">routing; code reasoning; repo context; file edit; test execution; structured output</x:t>
        </x:is>
      </x:c>
      <x:c r="O25" s="5" t="inlineStr">
        <x:is>
          <x:t xml:space="preserve">No</x:t>
        </x:is>
      </x:c>
      <x:c r="P25" s="5" t="inlineStr">
        <x:is>
          <x:t xml:space="preserve">Medium</x:t>
        </x:is>
      </x:c>
      <x:c r="Q25" s="5" t="inlineStr">
        <x:is>
          <x:t xml:space="preserve">High</x:t>
        </x:is>
      </x:c>
      <x:c r="R25" s="5" t="inlineStr">
        <x:is>
          <x:t xml:space="preserve">Medium</x:t>
        </x:is>
      </x:c>
      <x:c r="S25" s="5" t="inlineStr">
        <x:is>
          <x:t xml:space="preserve">Low</x:t>
        </x:is>
      </x:c>
      <x:c r="T25" s="5" t="inlineStr">
        <x:is>
          <x:t xml:space="preserve">Claude Code primary; ChatGPT critique; web optional</x:t>
        </x:is>
      </x:c>
      <x:c r="U25" s="5" t="inlineStr">
        <x:is>
          <x:t xml:space="preserve">Easy</x:t>
        </x:is>
      </x:c>
      <x:c r="V25" s="10" t="n">
        <x:v>1</x:v>
      </x:c>
      <x:c r="W25" s="5" t="inlineStr">
        <x:is>
          <x:t xml:space="preserve">Live execution + code diff + output review</x:t>
        </x:is>
      </x:c>
      <x:c r="X25" s="5" t="inlineStr">
        <x:is>
          <x:t xml:space="preserve">code patch / spec / architecture / debug report</x:t>
        </x:is>
      </x:c>
      <x:c r="Y25" s="5" t="inlineStr">
        <x:is>
          <x:t xml:space="preserve">Produces correct technical plan or working code without breaking current behavior.</x:t>
        </x:is>
      </x:c>
      <x:c r="Z25" s="5" t="inlineStr">
        <x:is>
          <x:t xml:space="preserve">Hallucinated codebase facts, unsafe refactor, broken tests, or vague technical output.</x:t>
        </x:is>
      </x:c>
      <x:c r="AA25" s="5" t="inlineStr">
        <x:is>
          <x:t xml:space="preserve">routing / tool wiring / repo context / codegen guardrails</x:t>
        </x:is>
      </x:c>
      <x:c r="AB25" s="5" t="inlineStr">
        <x:is>
          <x:t xml:space="preserve"/>
        </x:is>
      </x:c>
      <x:c r="AC25" s="5" t="inlineStr">
        <x:is>
          <x:t xml:space="preserve">OpenAI/common use: writing+coding; Menlo enterprise coding is 55% of departmental AI spend; Deloitte top app: work assistance.</x:t>
        </x:is>
      </x:c>
      <x:c r="AD25" s="5" t="inlineStr">
        <x:is>
          <x:t xml:space="preserve">OpenAI GPT-5 / How People Use ChatGPT; Menlo State of GenAI in Enterprise 2025; Deloitte Connected Consumer 2025</x:t>
        </x:is>
      </x:c>
      <x:c r="AE25" s="11">
        <x:f>IF(O25="High",20,IF(O25="Medium",10,IF(O25="Low",5,0)))+IF(P25="High",20,IF(P25="Medium",10,IF(P25="Low",5,0)))+IF(Q25="High",20,IF(Q25="Medium",10,IF(Q25="Low",5,0)))+IF(R25="High",20,IF(R25="Medium",10,IF(R25="Low",5,0)))+IF(S25="High",20,IF(S25="Medium",10,IF(S25="Low",5,0)))</x:f>
        <x:v>45</x:v>
      </x:c>
      <x:c r="AF25" s="12">
        <x:f>ROUND(H25*0.30+J25*0.25+K25*0.20+(100-AE25)*0.10+(100-(V25*20))*0.15,0)</x:f>
        <x:v>77</x:v>
      </x:c>
      <x:c r="AG25" s="13" t="str">
        <x:f>IF(AF25&gt;=80,"Batch 1",IF(AF25&gt;=70,"Batch 2",IF(AF25&gt;=60,"Batch 3","Backlog")))</x:f>
        <x:v>Batch 2</x:v>
      </x:c>
      <x:c r="AH25" t="inlineStr">
        <x:is>
          <x:t xml:space="preserve"/>
        </x:is>
      </x:c>
    </x:row>
    <x:row r="26">
      <x:c r="A26" s="5" t="inlineStr">
        <x:is>
          <x:t xml:space="preserve">GPO-LEA-04</x:t>
        </x:is>
      </x:c>
      <x:c r="B26" s="5" t="n">
        <x:v>22</x:v>
      </x:c>
      <x:c r="C26" s="5" t="inlineStr">
        <x:is>
          <x:t xml:space="preserve">Learning &amp; Tutoring</x:t>
        </x:is>
      </x:c>
      <x:c r="D26" s="5" t="inlineStr">
        <x:is>
          <x:t xml:space="preserve">Grow</x:t>
        </x:is>
      </x:c>
      <x:c r="E26" s="5" t="inlineStr">
        <x:is>
          <x:t xml:space="preserve">Core 150</x:t>
        </x:is>
      </x:c>
      <x:c r="F26" s="5" t="n">
        <x:v>4</x:v>
      </x:c>
      <x:c r="G26" s="5" t="inlineStr">
        <x:is>
          <x:t xml:space="preserve">Create a 30-day learning roadmap for the skill with daily practice.</x:t>
        </x:is>
      </x:c>
      <x:c r="H26" s="6" t="n">
        <x:v>73</x:v>
      </x:c>
      <x:c r="I26" s="6" t="n">
        <x:v>73</x:v>
      </x:c>
      <x:c r="J26" s="7" t="n">
        <x:v>88</x:v>
      </x:c>
      <x:c r="K26" s="7" t="n">
        <x:v>80</x:v>
      </x:c>
      <x:c r="L26" s="8" t="inlineStr">
        <x:is>
          <x:t xml:space="preserve">UNTESTED</x:t>
        </x:is>
      </x:c>
      <x:c r="M26" s="9" t="inlineStr">
        <x:is>
          <x:t xml:space="preserve">UNTESTED</x:t>
        </x:is>
      </x:c>
      <x:c r="N26" s="5" t="inlineStr">
        <x:is>
          <x:t xml:space="preserve">adaptive tutoring; curriculum planning; quiz generation; context retention</x:t>
        </x:is>
      </x:c>
      <x:c r="O26" s="5" t="inlineStr">
        <x:is>
          <x:t xml:space="preserve">Low</x:t>
        </x:is>
      </x:c>
      <x:c r="P26" s="5" t="inlineStr">
        <x:is>
          <x:t xml:space="preserve">High</x:t>
        </x:is>
      </x:c>
      <x:c r="Q26" s="5" t="inlineStr">
        <x:is>
          <x:t xml:space="preserve">Low</x:t>
        </x:is>
      </x:c>
      <x:c r="R26" s="5" t="inlineStr">
        <x:is>
          <x:t xml:space="preserve">Low</x:t>
        </x:is>
      </x:c>
      <x:c r="S26" s="5" t="inlineStr">
        <x:is>
          <x:t xml:space="preserve">Low</x:t>
        </x:is>
      </x:c>
      <x:c r="T26" s="5" t="inlineStr">
        <x:is>
          <x:t xml:space="preserve">ChatGPT primary</x:t>
        </x:is>
      </x:c>
      <x:c r="U26" s="5" t="inlineStr">
        <x:is>
          <x:t xml:space="preserve">Easy</x:t>
        </x:is>
      </x:c>
      <x:c r="V26" s="10" t="n">
        <x:v>1</x:v>
      </x:c>
      <x:c r="W26" s="5" t="inlineStr">
        <x:is>
          <x:t xml:space="preserve">Interactive tutoring session + quality review</x:t>
        </x:is>
      </x:c>
      <x:c r="X26" s="5" t="inlineStr">
        <x:is>
          <x:t xml:space="preserve">lesson / plan / quiz / explanation</x:t>
        </x:is>
      </x:c>
      <x:c r="Y26" s="5" t="inlineStr">
        <x:is>
          <x:t xml:space="preserve">Teaching is accurate, adaptive, and improves understanding rather than over-answering.</x:t>
        </x:is>
      </x:c>
      <x:c r="Z26" s="5" t="inlineStr">
        <x:is>
          <x:t xml:space="preserve">Wrong explanations, over-helping, no adaptation, or generic curriculum.</x:t>
        </x:is>
      </x:c>
      <x:c r="AA26" s="5" t="inlineStr">
        <x:is>
          <x:t xml:space="preserve">tutor mode / memory / scaffolding logic</x:t>
        </x:is>
      </x:c>
      <x:c r="AB26" s="5" t="inlineStr">
        <x:is>
          <x:t xml:space="preserve"/>
        </x:is>
      </x:c>
      <x:c r="AC26" s="5" t="inlineStr">
        <x:is>
          <x:t xml:space="preserve">OpenAI practical guidance includes tutoring; HEPI 2025 says 88% of students use GenAI for assessments, often to explain concepts and summarize articles.</x:t>
        </x:is>
      </x:c>
      <x:c r="AD26" s="5" t="inlineStr">
        <x:is>
          <x:t xml:space="preserve">OpenAI How People Use ChatGPT paper; HEPI Student Generative AI Survey 2025; Brookings 2026 tutoring article</x:t>
        </x:is>
      </x:c>
      <x:c r="AE26" s="11">
        <x:f>IF(O26="High",20,IF(O26="Medium",10,IF(O26="Low",5,0)))+IF(P26="High",20,IF(P26="Medium",10,IF(P26="Low",5,0)))+IF(Q26="High",20,IF(Q26="Medium",10,IF(Q26="Low",5,0)))+IF(R26="High",20,IF(R26="Medium",10,IF(R26="Low",5,0)))+IF(S26="High",20,IF(S26="Medium",10,IF(S26="Low",5,0)))</x:f>
        <x:v>40</x:v>
      </x:c>
      <x:c r="AF26" s="12">
        <x:f>ROUND(H26*0.30+J26*0.25+K26*0.20+(100-AE26)*0.10+(100-(V26*20))*0.15,0)</x:f>
        <x:v>78</x:v>
      </x:c>
      <x:c r="AG26" s="13" t="str">
        <x:f>IF(AF26&gt;=80,"Batch 1",IF(AF26&gt;=70,"Batch 2",IF(AF26&gt;=60,"Batch 3","Backlog")))</x:f>
        <x:v>Batch 2</x:v>
      </x:c>
      <x:c r="AH26" t="inlineStr">
        <x:is>
          <x:t xml:space="preserve"/>
        </x:is>
      </x:c>
    </x:row>
    <x:row r="27">
      <x:c r="A27" s="5" t="inlineStr">
        <x:is>
          <x:t xml:space="preserve">GPO-WRI-07</x:t>
        </x:is>
      </x:c>
      <x:c r="B27" s="5" t="n">
        <x:v>23</x:v>
      </x:c>
      <x:c r="C27" s="5" t="inlineStr">
        <x:is>
          <x:t xml:space="preserve">Writing &amp; Documentation</x:t>
        </x:is>
      </x:c>
      <x:c r="D27" s="5" t="inlineStr">
        <x:is>
          <x:t xml:space="preserve">Create</x:t>
        </x:is>
      </x:c>
      <x:c r="E27" s="5" t="inlineStr">
        <x:is>
          <x:t xml:space="preserve">Core 150</x:t>
        </x:is>
      </x:c>
      <x:c r="F27" s="5" t="n">
        <x:v>7</x:v>
      </x:c>
      <x:c r="G27" s="5" t="inlineStr">
        <x:is>
          <x:t xml:space="preserve">Transform these notes into a client-ready proposal with clean structure and pricing logic.</x:t>
        </x:is>
      </x:c>
      <x:c r="H27" s="6" t="n">
        <x:v>72</x:v>
      </x:c>
      <x:c r="I27" s="6" t="n">
        <x:v>72</x:v>
      </x:c>
      <x:c r="J27" s="7" t="n">
        <x:v>89</x:v>
      </x:c>
      <x:c r="K27" s="7" t="n">
        <x:v>80</x:v>
      </x:c>
      <x:c r="L27" s="8" t="inlineStr">
        <x:is>
          <x:t xml:space="preserve">UNTESTED</x:t>
        </x:is>
      </x:c>
      <x:c r="M27" s="9" t="inlineStr">
        <x:is>
          <x:t xml:space="preserve">UNTESTED</x:t>
        </x:is>
      </x:c>
      <x:c r="N27" s="5" t="inlineStr">
        <x:is>
          <x:t xml:space="preserve">writing quality; summarization; style control; structured artifacts</x:t>
        </x:is>
      </x:c>
      <x:c r="O27" s="5" t="inlineStr">
        <x:is>
          <x:t xml:space="preserve">Low</x:t>
        </x:is>
      </x:c>
      <x:c r="P27" s="5" t="inlineStr">
        <x:is>
          <x:t xml:space="preserve">Medium</x:t>
        </x:is>
      </x:c>
      <x:c r="Q27" s="5" t="inlineStr">
        <x:is>
          <x:t xml:space="preserve">Low</x:t>
        </x:is>
      </x:c>
      <x:c r="R27" s="5" t="inlineStr">
        <x:is>
          <x:t xml:space="preserve">Low</x:t>
        </x:is>
      </x:c>
      <x:c r="S27" s="5" t="inlineStr">
        <x:is>
          <x:t xml:space="preserve">Low</x:t>
        </x:is>
      </x:c>
      <x:c r="T27" s="5" t="inlineStr">
        <x:is>
          <x:t xml:space="preserve">ChatGPT or Claude; human review optional</x:t>
        </x:is>
      </x:c>
      <x:c r="U27" s="5" t="inlineStr">
        <x:is>
          <x:t xml:space="preserve">Easy</x:t>
        </x:is>
      </x:c>
      <x:c r="V27" s="10" t="n">
        <x:v>1</x:v>
      </x:c>
      <x:c r="W27" s="5" t="inlineStr">
        <x:is>
          <x:t xml:space="preserve">Prompt execution + artifact quality review</x:t>
        </x:is>
      </x:c>
      <x:c r="X27" s="5" t="inlineStr">
        <x:is>
          <x:t xml:space="preserve">doc / memo / email / FAQ / summary</x:t>
        </x:is>
      </x:c>
      <x:c r="Y27" s="5" t="inlineStr">
        <x:is>
          <x:t xml:space="preserve">Output is clear, tailored, structurally sound, and immediately usable.</x:t>
        </x:is>
      </x:c>
      <x:c r="Z27" s="5" t="inlineStr">
        <x:is>
          <x:t xml:space="preserve">Generic tone, missing context, weak structure, or wrong audience level.</x:t>
        </x:is>
      </x:c>
      <x:c r="AA27" s="5" t="inlineStr">
        <x:is>
          <x:t xml:space="preserve">prompt pack / style guidance / output schema</x:t>
        </x:is>
      </x:c>
      <x:c r="AB27" s="5" t="inlineStr">
        <x:is>
          <x:t xml:space="preserve"/>
        </x:is>
      </x:c>
      <x:c r="AC27" s="5" t="inlineStr">
        <x:is>
          <x:t xml:space="preserve">OpenAI usage paper: Writing is in top 3 categories; Menlo consumer AI says 19% use AI to write emails and 18% get writing support.</x:t>
        </x:is>
      </x:c>
      <x:c r="AD27" s="5" t="inlineStr">
        <x:is>
          <x:t xml:space="preserve">OpenAI How People Use ChatGPT paper; Menlo State of Consumer AI 2025</x:t>
        </x:is>
      </x:c>
      <x:c r="AE27" s="11">
        <x:f>IF(O27="High",20,IF(O27="Medium",10,IF(O27="Low",5,0)))+IF(P27="High",20,IF(P27="Medium",10,IF(P27="Low",5,0)))+IF(Q27="High",20,IF(Q27="Medium",10,IF(Q27="Low",5,0)))+IF(R27="High",20,IF(R27="Medium",10,IF(R27="Low",5,0)))+IF(S27="High",20,IF(S27="Medium",10,IF(S27="Low",5,0)))</x:f>
        <x:v>30</x:v>
      </x:c>
      <x:c r="AF27" s="12">
        <x:f>ROUND(H27*0.30+J27*0.25+K27*0.20+(100-AE27)*0.10+(100-(V27*20))*0.15,0)</x:f>
        <x:v>79</x:v>
      </x:c>
      <x:c r="AG27" s="13" t="str">
        <x:f>IF(AF27&gt;=80,"Batch 1",IF(AF27&gt;=70,"Batch 2",IF(AF27&gt;=60,"Batch 3","Backlog")))</x:f>
        <x:v>Batch 2</x:v>
      </x:c>
      <x:c r="AH27" t="inlineStr">
        <x:is>
          <x:t xml:space="preserve"/>
        </x:is>
      </x:c>
    </x:row>
    <x:row r="28">
      <x:c r="A28" s="5" t="inlineStr">
        <x:is>
          <x:t xml:space="preserve">GPO-RES-05</x:t>
        </x:is>
      </x:c>
      <x:c r="B28" s="5" t="n">
        <x:v>24</x:v>
      </x:c>
      <x:c r="C28" s="5" t="inlineStr">
        <x:is>
          <x:t xml:space="preserve">Research &amp; Analysis</x:t>
        </x:is>
      </x:c>
      <x:c r="D28" s="5" t="inlineStr">
        <x:is>
          <x:t xml:space="preserve">Think</x:t>
        </x:is>
      </x:c>
      <x:c r="E28" s="5" t="inlineStr">
        <x:is>
          <x:t xml:space="preserve">Core 150</x:t>
        </x:is>
      </x:c>
      <x:c r="F28" s="5" t="n">
        <x:v>5</x:v>
      </x:c>
      <x:c r="G28" s="5" t="inlineStr">
        <x:is>
          <x:t xml:space="preserve">Find the best tools/vendors for my use case and rank them by fit, not hype.</x:t>
        </x:is>
      </x:c>
      <x:c r="H28" s="6" t="n">
        <x:v>74</x:v>
      </x:c>
      <x:c r="I28" s="6" t="n">
        <x:v>74</x:v>
      </x:c>
      <x:c r="J28" s="7" t="n">
        <x:v>85</x:v>
      </x:c>
      <x:c r="K28" s="7" t="n">
        <x:v>79</x:v>
      </x:c>
      <x:c r="L28" s="8" t="inlineStr">
        <x:is>
          <x:t xml:space="preserve">UNTESTED</x:t>
        </x:is>
      </x:c>
      <x:c r="M28" s="9" t="inlineStr">
        <x:is>
          <x:t xml:space="preserve">UNTESTED</x:t>
        </x:is>
      </x:c>
      <x:c r="N28" s="5" t="inlineStr">
        <x:is>
          <x:t xml:space="preserve">web research; synthesis; citation discipline; decision framing</x:t>
        </x:is>
      </x:c>
      <x:c r="O28" s="5" t="inlineStr">
        <x:is>
          <x:t xml:space="preserve">High</x:t>
        </x:is>
      </x:c>
      <x:c r="P28" s="5" t="inlineStr">
        <x:is>
          <x:t xml:space="preserve">Medium</x:t>
        </x:is>
      </x:c>
      <x:c r="Q28" s="5" t="inlineStr">
        <x:is>
          <x:t xml:space="preserve">Medium</x:t>
        </x:is>
      </x:c>
      <x:c r="R28" s="5" t="inlineStr">
        <x:is>
          <x:t xml:space="preserve">Medium</x:t>
        </x:is>
      </x:c>
      <x:c r="S28" s="5" t="inlineStr">
        <x:is>
          <x:t xml:space="preserve">Low</x:t>
        </x:is>
      </x:c>
      <x:c r="T28" s="5" t="inlineStr">
        <x:is>
          <x:t xml:space="preserve">ChatGPT with web; Claude for synthesis</x:t>
        </x:is>
      </x:c>
      <x:c r="U28" s="5" t="inlineStr">
        <x:is>
          <x:t xml:space="preserve">Easy</x:t>
        </x:is>
      </x:c>
      <x:c r="V28" s="10" t="n">
        <x:v>1</x:v>
      </x:c>
      <x:c r="W28" s="5" t="inlineStr">
        <x:is>
          <x:t xml:space="preserve">Live research + source validation + recommendation review</x:t>
        </x:is>
      </x:c>
      <x:c r="X28" s="5" t="inlineStr">
        <x:is>
          <x:t xml:space="preserve">brief / comparison / decision memo / risk analysis</x:t>
        </x:is>
      </x:c>
      <x:c r="Y28" s="5" t="inlineStr">
        <x:is>
          <x:t xml:space="preserve">Accurate synthesis with evidence, tradeoffs, and a concrete recommendation.</x:t>
        </x:is>
      </x:c>
      <x:c r="Z28" s="5" t="inlineStr">
        <x:is>
          <x:t xml:space="preserve">Stale facts, no citations, weak reasoning, or surface-level synthesis.</x:t>
        </x:is>
      </x:c>
      <x:c r="AA28" s="5" t="inlineStr">
        <x:is>
          <x:t xml:space="preserve">web integration / citation enforcement / analysis rubric</x:t>
        </x:is>
      </x:c>
      <x:c r="AB28" s="5" t="inlineStr">
        <x:is>
          <x:t xml:space="preserve"/>
        </x:is>
      </x:c>
      <x:c r="AC28" s="5" t="inlineStr">
        <x:is>
          <x:t xml:space="preserve">OpenAI usage paper: Seeking Information is in top 3 categories; work/advice/search are common across Deloitte and OpenAI.</x:t>
        </x:is>
      </x:c>
      <x:c r="AD28" s="5" t="inlineStr">
        <x:is>
          <x:t xml:space="preserve">OpenAI How People Use ChatGPT paper; Deloitte Connected Consumer 2025</x:t>
        </x:is>
      </x:c>
      <x:c r="AE28" s="11">
        <x:f>IF(O28="High",20,IF(O28="Medium",10,IF(O28="Low",5,0)))+IF(P28="High",20,IF(P28="Medium",10,IF(P28="Low",5,0)))+IF(Q28="High",20,IF(Q28="Medium",10,IF(Q28="Low",5,0)))+IF(R28="High",20,IF(R28="Medium",10,IF(R28="Low",5,0)))+IF(S28="High",20,IF(S28="Medium",10,IF(S28="Low",5,0)))</x:f>
        <x:v>55</x:v>
      </x:c>
      <x:c r="AF28" s="12">
        <x:f>ROUND(H28*0.30+J28*0.25+K28*0.20+(100-AE28)*0.10+(100-(V28*20))*0.15,0)</x:f>
        <x:v>76</x:v>
      </x:c>
      <x:c r="AG28" s="13" t="str">
        <x:f>IF(AF28&gt;=80,"Batch 1",IF(AF28&gt;=70,"Batch 2",IF(AF28&gt;=60,"Batch 3","Backlog")))</x:f>
        <x:v>Batch 2</x:v>
      </x:c>
      <x:c r="AH28" t="inlineStr">
        <x:is>
          <x:t xml:space="preserve"/>
        </x:is>
      </x:c>
    </x:row>
    <x:row r="29">
      <x:c r="A29" s="5" t="inlineStr">
        <x:is>
          <x:t xml:space="preserve">GPO-SCH-02</x:t>
        </x:is>
      </x:c>
      <x:c r="B29" s="5" t="n">
        <x:v>25</x:v>
      </x:c>
      <x:c r="C29" s="5" t="inlineStr">
        <x:is>
          <x:t xml:space="preserve">Scheduling &amp; Life Operations</x:t>
        </x:is>
      </x:c>
      <x:c r="D29" s="5" t="inlineStr">
        <x:is>
          <x:t xml:space="preserve">Operate</x:t>
        </x:is>
      </x:c>
      <x:c r="E29" s="5" t="inlineStr">
        <x:is>
          <x:t xml:space="preserve">Core 150</x:t>
        </x:is>
      </x:c>
      <x:c r="F29" s="5" t="n">
        <x:v>2</x:v>
      </x:c>
      <x:c r="G29" s="5" t="inlineStr">
        <x:is>
          <x:t xml:space="preserve">Turn this chaotic task list into a realistic priority system and schedule.</x:t>
        </x:is>
      </x:c>
      <x:c r="H29" s="6" t="n">
        <x:v>74</x:v>
      </x:c>
      <x:c r="I29" s="6" t="n">
        <x:v>74</x:v>
      </x:c>
      <x:c r="J29" s="7" t="n">
        <x:v>85</x:v>
      </x:c>
      <x:c r="K29" s="7" t="n">
        <x:v>79</x:v>
      </x:c>
      <x:c r="L29" s="8" t="inlineStr">
        <x:is>
          <x:t xml:space="preserve">UNTESTED</x:t>
        </x:is>
      </x:c>
      <x:c r="M29" s="9" t="inlineStr">
        <x:is>
          <x:t xml:space="preserve">UNTESTED</x:t>
        </x:is>
      </x:c>
      <x:c r="N29" s="5" t="inlineStr">
        <x:is>
          <x:t xml:space="preserve">task planning; prioritization; calendar reasoning; personal constraints handling</x:t>
        </x:is>
      </x:c>
      <x:c r="O29" s="5" t="inlineStr">
        <x:is>
          <x:t xml:space="preserve">Low</x:t>
        </x:is>
      </x:c>
      <x:c r="P29" s="5" t="inlineStr">
        <x:is>
          <x:t xml:space="preserve">High</x:t>
        </x:is>
      </x:c>
      <x:c r="Q29" s="5" t="inlineStr">
        <x:is>
          <x:t xml:space="preserve">Medium</x:t>
        </x:is>
      </x:c>
      <x:c r="R29" s="5" t="inlineStr">
        <x:is>
          <x:t xml:space="preserve">Low</x:t>
        </x:is>
      </x:c>
      <x:c r="S29" s="5" t="inlineStr">
        <x:is>
          <x:t xml:space="preserve">Low</x:t>
        </x:is>
      </x:c>
      <x:c r="T29" s="5" t="inlineStr">
        <x:is>
          <x:t xml:space="preserve">ChatGPT primary; calendar integrations later</x:t>
        </x:is>
      </x:c>
      <x:c r="U29" s="5" t="inlineStr">
        <x:is>
          <x:t xml:space="preserve">Easy</x:t>
        </x:is>
      </x:c>
      <x:c r="V29" s="10" t="n">
        <x:v>1</x:v>
      </x:c>
      <x:c r="W29" s="5" t="inlineStr">
        <x:is>
          <x:t xml:space="preserve">Scenario-based planning + operator utility review</x:t>
        </x:is>
      </x:c>
      <x:c r="X29" s="5" t="inlineStr">
        <x:is>
          <x:t xml:space="preserve">schedule / checklist / operating plan</x:t>
        </x:is>
      </x:c>
      <x:c r="Y29" s="5" t="inlineStr">
        <x:is>
          <x:t xml:space="preserve">Plan is realistic, prioritized, and executable under stated constraints.</x:t>
        </x:is>
      </x:c>
      <x:c r="Z29" s="5" t="inlineStr">
        <x:is>
          <x:t xml:space="preserve">Overpacked schedule, ignored constraints, or vague next steps.</x:t>
        </x:is>
      </x:c>
      <x:c r="AA29" s="5" t="inlineStr">
        <x:is>
          <x:t xml:space="preserve">planner engine / memory / calendar-tool integration</x:t>
        </x:is>
      </x:c>
      <x:c r="AB29" s="5" t="inlineStr">
        <x:is>
          <x:t xml:space="preserve"/>
        </x:is>
      </x:c>
      <x:c r="AC29" s="5" t="inlineStr">
        <x:is>
          <x:t xml:space="preserve">Menlo consumer AI: 18% use AI to manage to-do lists and 15% to organize notes; Zao-Sanders ranked 'Organise my life' #2.</x:t>
        </x:is>
      </x:c>
      <x:c r="AD29" s="5" t="inlineStr">
        <x:is>
          <x:t xml:space="preserve">Menlo State of Consumer AI 2025; Zao-Sanders Top-100 GenAI Use Cases 2025</x:t>
        </x:is>
      </x:c>
      <x:c r="AE29" s="11">
        <x:f>IF(O29="High",20,IF(O29="Medium",10,IF(O29="Low",5,0)))+IF(P29="High",20,IF(P29="Medium",10,IF(P29="Low",5,0)))+IF(Q29="High",20,IF(Q29="Medium",10,IF(Q29="Low",5,0)))+IF(R29="High",20,IF(R29="Medium",10,IF(R29="Low",5,0)))+IF(S29="High",20,IF(S29="Medium",10,IF(S29="Low",5,0)))</x:f>
        <x:v>45</x:v>
      </x:c>
      <x:c r="AF29" s="12">
        <x:f>ROUND(H29*0.30+J29*0.25+K29*0.20+(100-AE29)*0.10+(100-(V29*20))*0.15,0)</x:f>
        <x:v>77</x:v>
      </x:c>
      <x:c r="AG29" s="13" t="str">
        <x:f>IF(AF29&gt;=80,"Batch 1",IF(AF29&gt;=70,"Batch 2",IF(AF29&gt;=60,"Batch 3","Backlog")))</x:f>
        <x:v>Batch 2</x:v>
      </x:c>
      <x:c r="AH29" t="inlineStr">
        <x:is>
          <x:t xml:space="preserve"/>
        </x:is>
      </x:c>
    </x:row>
    <x:row r="30">
      <x:c r="A30" s="5" t="inlineStr">
        <x:is>
          <x:t xml:space="preserve">GPO-LEA-05</x:t>
        </x:is>
      </x:c>
      <x:c r="B30" s="5" t="n">
        <x:v>26</x:v>
      </x:c>
      <x:c r="C30" s="5" t="inlineStr">
        <x:is>
          <x:t xml:space="preserve">Learning &amp; Tutoring</x:t>
        </x:is>
      </x:c>
      <x:c r="D30" s="5" t="inlineStr">
        <x:is>
          <x:t xml:space="preserve">Grow</x:t>
        </x:is>
      </x:c>
      <x:c r="E30" s="5" t="inlineStr">
        <x:is>
          <x:t xml:space="preserve">Core 150</x:t>
        </x:is>
      </x:c>
      <x:c r="F30" s="5" t="n">
        <x:v>5</x:v>
      </x:c>
      <x:c r="G30" s="5" t="inlineStr">
        <x:is>
          <x:t xml:space="preserve">Turn this textbook/article/PDF into notes, flashcards, and exam questions.</x:t>
        </x:is>
      </x:c>
      <x:c r="H30" s="6" t="n">
        <x:v>72</x:v>
      </x:c>
      <x:c r="I30" s="6" t="n">
        <x:v>72</x:v>
      </x:c>
      <x:c r="J30" s="7" t="n">
        <x:v>87</x:v>
      </x:c>
      <x:c r="K30" s="7" t="n">
        <x:v>79</x:v>
      </x:c>
      <x:c r="L30" s="8" t="inlineStr">
        <x:is>
          <x:t xml:space="preserve">UNTESTED</x:t>
        </x:is>
      </x:c>
      <x:c r="M30" s="9" t="inlineStr">
        <x:is>
          <x:t xml:space="preserve">UNTESTED</x:t>
        </x:is>
      </x:c>
      <x:c r="N30" s="5" t="inlineStr">
        <x:is>
          <x:t xml:space="preserve">adaptive tutoring; curriculum planning; quiz generation; context retention</x:t>
        </x:is>
      </x:c>
      <x:c r="O30" s="5" t="inlineStr">
        <x:is>
          <x:t xml:space="preserve">Low</x:t>
        </x:is>
      </x:c>
      <x:c r="P30" s="5" t="inlineStr">
        <x:is>
          <x:t xml:space="preserve">High</x:t>
        </x:is>
      </x:c>
      <x:c r="Q30" s="5" t="inlineStr">
        <x:is>
          <x:t xml:space="preserve">Low</x:t>
        </x:is>
      </x:c>
      <x:c r="R30" s="5" t="inlineStr">
        <x:is>
          <x:t xml:space="preserve">Low</x:t>
        </x:is>
      </x:c>
      <x:c r="S30" s="5" t="inlineStr">
        <x:is>
          <x:t xml:space="preserve">Low</x:t>
        </x:is>
      </x:c>
      <x:c r="T30" s="5" t="inlineStr">
        <x:is>
          <x:t xml:space="preserve">ChatGPT primary</x:t>
        </x:is>
      </x:c>
      <x:c r="U30" s="5" t="inlineStr">
        <x:is>
          <x:t xml:space="preserve">Easy</x:t>
        </x:is>
      </x:c>
      <x:c r="V30" s="10" t="n">
        <x:v>1</x:v>
      </x:c>
      <x:c r="W30" s="5" t="inlineStr">
        <x:is>
          <x:t xml:space="preserve">Interactive tutoring session + quality review</x:t>
        </x:is>
      </x:c>
      <x:c r="X30" s="5" t="inlineStr">
        <x:is>
          <x:t xml:space="preserve">lesson / plan / quiz / explanation</x:t>
        </x:is>
      </x:c>
      <x:c r="Y30" s="5" t="inlineStr">
        <x:is>
          <x:t xml:space="preserve">Teaching is accurate, adaptive, and improves understanding rather than over-answering.</x:t>
        </x:is>
      </x:c>
      <x:c r="Z30" s="5" t="inlineStr">
        <x:is>
          <x:t xml:space="preserve">Wrong explanations, over-helping, no adaptation, or generic curriculum.</x:t>
        </x:is>
      </x:c>
      <x:c r="AA30" s="5" t="inlineStr">
        <x:is>
          <x:t xml:space="preserve">tutor mode / memory / scaffolding logic</x:t>
        </x:is>
      </x:c>
      <x:c r="AB30" s="5" t="inlineStr">
        <x:is>
          <x:t xml:space="preserve"/>
        </x:is>
      </x:c>
      <x:c r="AC30" s="5" t="inlineStr">
        <x:is>
          <x:t xml:space="preserve">OpenAI practical guidance includes tutoring; HEPI 2025 says 88% of students use GenAI for assessments, often to explain concepts and summarize articles.</x:t>
        </x:is>
      </x:c>
      <x:c r="AD30" s="5" t="inlineStr">
        <x:is>
          <x:t xml:space="preserve">OpenAI How People Use ChatGPT paper; HEPI Student Generative AI Survey 2025; Brookings 2026 tutoring article</x:t>
        </x:is>
      </x:c>
      <x:c r="AE30" s="11">
        <x:f>IF(O30="High",20,IF(O30="Medium",10,IF(O30="Low",5,0)))+IF(P30="High",20,IF(P30="Medium",10,IF(P30="Low",5,0)))+IF(Q30="High",20,IF(Q30="Medium",10,IF(Q30="Low",5,0)))+IF(R30="High",20,IF(R30="Medium",10,IF(R30="Low",5,0)))+IF(S30="High",20,IF(S30="Medium",10,IF(S30="Low",5,0)))</x:f>
        <x:v>40</x:v>
      </x:c>
      <x:c r="AF30" s="12">
        <x:f>ROUND(H30*0.30+J30*0.25+K30*0.20+(100-AE30)*0.10+(100-(V30*20))*0.15,0)</x:f>
        <x:v>77</x:v>
      </x:c>
      <x:c r="AG30" s="13" t="str">
        <x:f>IF(AF30&gt;=80,"Batch 1",IF(AF30&gt;=70,"Batch 2",IF(AF30&gt;=60,"Batch 3","Backlog")))</x:f>
        <x:v>Batch 2</x:v>
      </x:c>
      <x:c r="AH30" t="inlineStr">
        <x:is>
          <x:t xml:space="preserve"/>
        </x:is>
      </x:c>
    </x:row>
    <x:row r="31">
      <x:c r="A31" s="5" t="inlineStr">
        <x:is>
          <x:t xml:space="preserve">GPO-WRI-08</x:t>
        </x:is>
      </x:c>
      <x:c r="B31" s="5" t="n">
        <x:v>27</x:v>
      </x:c>
      <x:c r="C31" s="5" t="inlineStr">
        <x:is>
          <x:t xml:space="preserve">Writing &amp; Documentation</x:t>
        </x:is>
      </x:c>
      <x:c r="D31" s="5" t="inlineStr">
        <x:is>
          <x:t xml:space="preserve">Create</x:t>
        </x:is>
      </x:c>
      <x:c r="E31" s="5" t="inlineStr">
        <x:is>
          <x:t xml:space="preserve">Core 150</x:t>
        </x:is>
      </x:c>
      <x:c r="F31" s="5" t="n">
        <x:v>8</x:v>
      </x:c>
      <x:c r="G31" s="5" t="inlineStr">
        <x:is>
          <x:t xml:space="preserve">Draft a decision memo comparing option A vs option B with recommendation.</x:t>
        </x:is>
      </x:c>
      <x:c r="H31" s="6" t="n">
        <x:v>71</x:v>
      </x:c>
      <x:c r="I31" s="6" t="n">
        <x:v>71</x:v>
      </x:c>
      <x:c r="J31" s="7" t="n">
        <x:v>88</x:v>
      </x:c>
      <x:c r="K31" s="7" t="n">
        <x:v>79</x:v>
      </x:c>
      <x:c r="L31" s="8" t="inlineStr">
        <x:is>
          <x:t xml:space="preserve">UNTESTED</x:t>
        </x:is>
      </x:c>
      <x:c r="M31" s="9" t="inlineStr">
        <x:is>
          <x:t xml:space="preserve">UNTESTED</x:t>
        </x:is>
      </x:c>
      <x:c r="N31" s="5" t="inlineStr">
        <x:is>
          <x:t xml:space="preserve">writing quality; summarization; style control; structured artifacts</x:t>
        </x:is>
      </x:c>
      <x:c r="O31" s="5" t="inlineStr">
        <x:is>
          <x:t xml:space="preserve">Low</x:t>
        </x:is>
      </x:c>
      <x:c r="P31" s="5" t="inlineStr">
        <x:is>
          <x:t xml:space="preserve">Medium</x:t>
        </x:is>
      </x:c>
      <x:c r="Q31" s="5" t="inlineStr">
        <x:is>
          <x:t xml:space="preserve">Low</x:t>
        </x:is>
      </x:c>
      <x:c r="R31" s="5" t="inlineStr">
        <x:is>
          <x:t xml:space="preserve">Low</x:t>
        </x:is>
      </x:c>
      <x:c r="S31" s="5" t="inlineStr">
        <x:is>
          <x:t xml:space="preserve">Low</x:t>
        </x:is>
      </x:c>
      <x:c r="T31" s="5" t="inlineStr">
        <x:is>
          <x:t xml:space="preserve">ChatGPT or Claude; human review optional</x:t>
        </x:is>
      </x:c>
      <x:c r="U31" s="5" t="inlineStr">
        <x:is>
          <x:t xml:space="preserve">Easy</x:t>
        </x:is>
      </x:c>
      <x:c r="V31" s="10" t="n">
        <x:v>1</x:v>
      </x:c>
      <x:c r="W31" s="5" t="inlineStr">
        <x:is>
          <x:t xml:space="preserve">Prompt execution + artifact quality review</x:t>
        </x:is>
      </x:c>
      <x:c r="X31" s="5" t="inlineStr">
        <x:is>
          <x:t xml:space="preserve">doc / memo / email / FAQ / summary</x:t>
        </x:is>
      </x:c>
      <x:c r="Y31" s="5" t="inlineStr">
        <x:is>
          <x:t xml:space="preserve">Output is clear, tailored, structurally sound, and immediately usable.</x:t>
        </x:is>
      </x:c>
      <x:c r="Z31" s="5" t="inlineStr">
        <x:is>
          <x:t xml:space="preserve">Generic tone, missing context, weak structure, or wrong audience level.</x:t>
        </x:is>
      </x:c>
      <x:c r="AA31" s="5" t="inlineStr">
        <x:is>
          <x:t xml:space="preserve">prompt pack / style guidance / output schema</x:t>
        </x:is>
      </x:c>
      <x:c r="AB31" s="5" t="inlineStr">
        <x:is>
          <x:t xml:space="preserve"/>
        </x:is>
      </x:c>
      <x:c r="AC31" s="5" t="inlineStr">
        <x:is>
          <x:t xml:space="preserve">OpenAI usage paper: Writing is in top 3 categories; Menlo consumer AI says 19% use AI to write emails and 18% get writing support.</x:t>
        </x:is>
      </x:c>
      <x:c r="AD31" s="5" t="inlineStr">
        <x:is>
          <x:t xml:space="preserve">OpenAI How People Use ChatGPT paper; Menlo State of Consumer AI 2025</x:t>
        </x:is>
      </x:c>
      <x:c r="AE31" s="11">
        <x:f>IF(O31="High",20,IF(O31="Medium",10,IF(O31="Low",5,0)))+IF(P31="High",20,IF(P31="Medium",10,IF(P31="Low",5,0)))+IF(Q31="High",20,IF(Q31="Medium",10,IF(Q31="Low",5,0)))+IF(R31="High",20,IF(R31="Medium",10,IF(R31="Low",5,0)))+IF(S31="High",20,IF(S31="Medium",10,IF(S31="Low",5,0)))</x:f>
        <x:v>30</x:v>
      </x:c>
      <x:c r="AF31" s="12">
        <x:f>ROUND(H31*0.30+J31*0.25+K31*0.20+(100-AE31)*0.10+(100-(V31*20))*0.15,0)</x:f>
        <x:v>78</x:v>
      </x:c>
      <x:c r="AG31" s="13" t="str">
        <x:f>IF(AF31&gt;=80,"Batch 1",IF(AF31&gt;=70,"Batch 2",IF(AF31&gt;=60,"Batch 3","Backlog")))</x:f>
        <x:v>Batch 2</x:v>
      </x:c>
      <x:c r="AH31" t="inlineStr">
        <x:is>
          <x:t xml:space="preserve"/>
        </x:is>
      </x:c>
    </x:row>
    <x:row r="32">
      <x:c r="A32" s="5" t="inlineStr">
        <x:is>
          <x:t xml:space="preserve">GPO-COD-08</x:t>
        </x:is>
      </x:c>
      <x:c r="B32" s="5" t="n">
        <x:v>28</x:v>
      </x:c>
      <x:c r="C32" s="5" t="inlineStr">
        <x:is>
          <x:t xml:space="preserve">Code &amp; Product Engineering</x:t>
        </x:is>
      </x:c>
      <x:c r="D32" s="5" t="inlineStr">
        <x:is>
          <x:t xml:space="preserve">Build</x:t>
        </x:is>
      </x:c>
      <x:c r="E32" s="5" t="inlineStr">
        <x:is>
          <x:t xml:space="preserve">Core 150</x:t>
        </x:is>
      </x:c>
      <x:c r="F32" s="5" t="n">
        <x:v>8</x:v>
      </x:c>
      <x:c r="G32" s="5" t="inlineStr">
        <x:is>
          <x:t xml:space="preserve">Write the API contract, validation rules, and edge cases for new feature.</x:t>
        </x:is>
      </x:c>
      <x:c r="H32" s="6" t="n">
        <x:v>72</x:v>
      </x:c>
      <x:c r="I32" s="6" t="n">
        <x:v>72</x:v>
      </x:c>
      <x:c r="J32" s="7" t="n">
        <x:v>86</x:v>
      </x:c>
      <x:c r="K32" s="7" t="n">
        <x:v>78</x:v>
      </x:c>
      <x:c r="L32" s="8" t="inlineStr">
        <x:is>
          <x:t xml:space="preserve">UNTESTED</x:t>
        </x:is>
      </x:c>
      <x:c r="M32" s="9" t="inlineStr">
        <x:is>
          <x:t xml:space="preserve">UNTESTED</x:t>
        </x:is>
      </x:c>
      <x:c r="N32" s="5" t="inlineStr">
        <x:is>
          <x:t xml:space="preserve">routing; code reasoning; repo context; file edit; test execution; structured output</x:t>
        </x:is>
      </x:c>
      <x:c r="O32" s="5" t="inlineStr">
        <x:is>
          <x:t xml:space="preserve">No</x:t>
        </x:is>
      </x:c>
      <x:c r="P32" s="5" t="inlineStr">
        <x:is>
          <x:t xml:space="preserve">Medium</x:t>
        </x:is>
      </x:c>
      <x:c r="Q32" s="5" t="inlineStr">
        <x:is>
          <x:t xml:space="preserve">High</x:t>
        </x:is>
      </x:c>
      <x:c r="R32" s="5" t="inlineStr">
        <x:is>
          <x:t xml:space="preserve">Medium</x:t>
        </x:is>
      </x:c>
      <x:c r="S32" s="5" t="inlineStr">
        <x:is>
          <x:t xml:space="preserve">Low</x:t>
        </x:is>
      </x:c>
      <x:c r="T32" s="5" t="inlineStr">
        <x:is>
          <x:t xml:space="preserve">Claude Code primary; ChatGPT critique; web optional</x:t>
        </x:is>
      </x:c>
      <x:c r="U32" s="5" t="inlineStr">
        <x:is>
          <x:t xml:space="preserve">Easy</x:t>
        </x:is>
      </x:c>
      <x:c r="V32" s="10" t="n">
        <x:v>1</x:v>
      </x:c>
      <x:c r="W32" s="5" t="inlineStr">
        <x:is>
          <x:t xml:space="preserve">Live execution + code diff + output review</x:t>
        </x:is>
      </x:c>
      <x:c r="X32" s="5" t="inlineStr">
        <x:is>
          <x:t xml:space="preserve">code patch / spec / architecture / debug report</x:t>
        </x:is>
      </x:c>
      <x:c r="Y32" s="5" t="inlineStr">
        <x:is>
          <x:t xml:space="preserve">Produces correct technical plan or working code without breaking current behavior.</x:t>
        </x:is>
      </x:c>
      <x:c r="Z32" s="5" t="inlineStr">
        <x:is>
          <x:t xml:space="preserve">Hallucinated codebase facts, unsafe refactor, broken tests, or vague technical output.</x:t>
        </x:is>
      </x:c>
      <x:c r="AA32" s="5" t="inlineStr">
        <x:is>
          <x:t xml:space="preserve">routing / tool wiring / repo context / codegen guardrails</x:t>
        </x:is>
      </x:c>
      <x:c r="AB32" s="5" t="inlineStr">
        <x:is>
          <x:t xml:space="preserve"/>
        </x:is>
      </x:c>
      <x:c r="AC32" s="5" t="inlineStr">
        <x:is>
          <x:t xml:space="preserve">OpenAI/common use: writing+coding; Menlo enterprise coding is 55% of departmental AI spend; Deloitte top app: work assistance.</x:t>
        </x:is>
      </x:c>
      <x:c r="AD32" s="5" t="inlineStr">
        <x:is>
          <x:t xml:space="preserve">OpenAI GPT-5 / How People Use ChatGPT; Menlo State of GenAI in Enterprise 2025; Deloitte Connected Consumer 2025</x:t>
        </x:is>
      </x:c>
      <x:c r="AE32" s="11">
        <x:f>IF(O32="High",20,IF(O32="Medium",10,IF(O32="Low",5,0)))+IF(P32="High",20,IF(P32="Medium",10,IF(P32="Low",5,0)))+IF(Q32="High",20,IF(Q32="Medium",10,IF(Q32="Low",5,0)))+IF(R32="High",20,IF(R32="Medium",10,IF(R32="Low",5,0)))+IF(S32="High",20,IF(S32="Medium",10,IF(S32="Low",5,0)))</x:f>
        <x:v>45</x:v>
      </x:c>
      <x:c r="AF32" s="12">
        <x:f>ROUND(H32*0.30+J32*0.25+K32*0.20+(100-AE32)*0.10+(100-(V32*20))*0.15,0)</x:f>
        <x:v>76</x:v>
      </x:c>
      <x:c r="AG32" s="13" t="str">
        <x:f>IF(AF32&gt;=80,"Batch 1",IF(AF32&gt;=70,"Batch 2",IF(AF32&gt;=60,"Batch 3","Backlog")))</x:f>
        <x:v>Batch 2</x:v>
      </x:c>
      <x:c r="AH32" t="inlineStr">
        <x:is>
          <x:t xml:space="preserve"/>
        </x:is>
      </x:c>
    </x:row>
    <x:row r="33">
      <x:c r="A33" s="5" t="inlineStr">
        <x:is>
          <x:t xml:space="preserve">GPO-SCH-03</x:t>
        </x:is>
      </x:c>
      <x:c r="B33" s="5" t="n">
        <x:v>29</x:v>
      </x:c>
      <x:c r="C33" s="5" t="inlineStr">
        <x:is>
          <x:t xml:space="preserve">Scheduling &amp; Life Operations</x:t>
        </x:is>
      </x:c>
      <x:c r="D33" s="5" t="inlineStr">
        <x:is>
          <x:t xml:space="preserve">Operate</x:t>
        </x:is>
      </x:c>
      <x:c r="E33" s="5" t="inlineStr">
        <x:is>
          <x:t xml:space="preserve">Core 150</x:t>
        </x:is>
      </x:c>
      <x:c r="F33" s="5" t="n">
        <x:v>3</x:v>
      </x:c>
      <x:c r="G33" s="5" t="inlineStr">
        <x:is>
          <x:t xml:space="preserve">Design a daily operating system for my work, health, and personal life.</x:t>
        </x:is>
      </x:c>
      <x:c r="H33" s="6" t="n">
        <x:v>73</x:v>
      </x:c>
      <x:c r="I33" s="6" t="n">
        <x:v>73</x:v>
      </x:c>
      <x:c r="J33" s="7" t="n">
        <x:v>84</x:v>
      </x:c>
      <x:c r="K33" s="7" t="n">
        <x:v>78</x:v>
      </x:c>
      <x:c r="L33" s="8" t="inlineStr">
        <x:is>
          <x:t xml:space="preserve">UNTESTED</x:t>
        </x:is>
      </x:c>
      <x:c r="M33" s="9" t="inlineStr">
        <x:is>
          <x:t xml:space="preserve">UNTESTED</x:t>
        </x:is>
      </x:c>
      <x:c r="N33" s="5" t="inlineStr">
        <x:is>
          <x:t xml:space="preserve">task planning; prioritization; calendar reasoning; personal constraints handling</x:t>
        </x:is>
      </x:c>
      <x:c r="O33" s="5" t="inlineStr">
        <x:is>
          <x:t xml:space="preserve">Low</x:t>
        </x:is>
      </x:c>
      <x:c r="P33" s="5" t="inlineStr">
        <x:is>
          <x:t xml:space="preserve">High</x:t>
        </x:is>
      </x:c>
      <x:c r="Q33" s="5" t="inlineStr">
        <x:is>
          <x:t xml:space="preserve">Medium</x:t>
        </x:is>
      </x:c>
      <x:c r="R33" s="5" t="inlineStr">
        <x:is>
          <x:t xml:space="preserve">Low</x:t>
        </x:is>
      </x:c>
      <x:c r="S33" s="5" t="inlineStr">
        <x:is>
          <x:t xml:space="preserve">Low</x:t>
        </x:is>
      </x:c>
      <x:c r="T33" s="5" t="inlineStr">
        <x:is>
          <x:t xml:space="preserve">ChatGPT primary; calendar integrations later</x:t>
        </x:is>
      </x:c>
      <x:c r="U33" s="5" t="inlineStr">
        <x:is>
          <x:t xml:space="preserve">Easy</x:t>
        </x:is>
      </x:c>
      <x:c r="V33" s="10" t="n">
        <x:v>1</x:v>
      </x:c>
      <x:c r="W33" s="5" t="inlineStr">
        <x:is>
          <x:t xml:space="preserve">Scenario-based planning + operator utility review</x:t>
        </x:is>
      </x:c>
      <x:c r="X33" s="5" t="inlineStr">
        <x:is>
          <x:t xml:space="preserve">schedule / checklist / operating plan</x:t>
        </x:is>
      </x:c>
      <x:c r="Y33" s="5" t="inlineStr">
        <x:is>
          <x:t xml:space="preserve">Plan is realistic, prioritized, and executable under stated constraints.</x:t>
        </x:is>
      </x:c>
      <x:c r="Z33" s="5" t="inlineStr">
        <x:is>
          <x:t xml:space="preserve">Overpacked schedule, ignored constraints, or vague next steps.</x:t>
        </x:is>
      </x:c>
      <x:c r="AA33" s="5" t="inlineStr">
        <x:is>
          <x:t xml:space="preserve">planner engine / memory / calendar-tool integration</x:t>
        </x:is>
      </x:c>
      <x:c r="AB33" s="5" t="inlineStr">
        <x:is>
          <x:t xml:space="preserve"/>
        </x:is>
      </x:c>
      <x:c r="AC33" s="5" t="inlineStr">
        <x:is>
          <x:t xml:space="preserve">Menlo consumer AI: 18% use AI to manage to-do lists and 15% to organize notes; Zao-Sanders ranked 'Organise my life' #2.</x:t>
        </x:is>
      </x:c>
      <x:c r="AD33" s="5" t="inlineStr">
        <x:is>
          <x:t xml:space="preserve">Menlo State of Consumer AI 2025; Zao-Sanders Top-100 GenAI Use Cases 2025</x:t>
        </x:is>
      </x:c>
      <x:c r="AE33" s="11">
        <x:f>IF(O33="High",20,IF(O33="Medium",10,IF(O33="Low",5,0)))+IF(P33="High",20,IF(P33="Medium",10,IF(P33="Low",5,0)))+IF(Q33="High",20,IF(Q33="Medium",10,IF(Q33="Low",5,0)))+IF(R33="High",20,IF(R33="Medium",10,IF(R33="Low",5,0)))+IF(S33="High",20,IF(S33="Medium",10,IF(S33="Low",5,0)))</x:f>
        <x:v>45</x:v>
      </x:c>
      <x:c r="AF33" s="12">
        <x:f>ROUND(H33*0.30+J33*0.25+K33*0.20+(100-AE33)*0.10+(100-(V33*20))*0.15,0)</x:f>
        <x:v>76</x:v>
      </x:c>
      <x:c r="AG33" s="13" t="str">
        <x:f>IF(AF33&gt;=80,"Batch 1",IF(AF33&gt;=70,"Batch 2",IF(AF33&gt;=60,"Batch 3","Backlog")))</x:f>
        <x:v>Batch 2</x:v>
      </x:c>
      <x:c r="AH33" t="inlineStr">
        <x:is>
          <x:t xml:space="preserve"/>
        </x:is>
      </x:c>
    </x:row>
    <x:row r="34">
      <x:c r="A34" s="5" t="inlineStr">
        <x:is>
          <x:t xml:space="preserve">GPO-SHO-01</x:t>
        </x:is>
      </x:c>
      <x:c r="B34" s="5" t="n">
        <x:v>30</x:v>
      </x:c>
      <x:c r="C34" s="5" t="inlineStr">
        <x:is>
          <x:t xml:space="preserve">Shopping &amp; Buying Advisor</x:t>
        </x:is>
      </x:c>
      <x:c r="D34" s="5" t="inlineStr">
        <x:is>
          <x:t xml:space="preserve">Buy</x:t>
        </x:is>
      </x:c>
      <x:c r="E34" s="5" t="inlineStr">
        <x:is>
          <x:t xml:space="preserve">Core 150</x:t>
        </x:is>
      </x:c>
      <x:c r="F34" s="5" t="n">
        <x:v>1</x:v>
      </x:c>
      <x:c r="G34" s="5" t="inlineStr">
        <x:is>
          <x:t xml:space="preserve">Recommend the best product for my budget, priorities, and taste.</x:t>
        </x:is>
      </x:c>
      <x:c r="H34" s="6" t="n">
        <x:v>72</x:v>
      </x:c>
      <x:c r="I34" s="6" t="n">
        <x:v>72</x:v>
      </x:c>
      <x:c r="J34" s="7" t="n">
        <x:v>85</x:v>
      </x:c>
      <x:c r="K34" s="7" t="n">
        <x:v>78</x:v>
      </x:c>
      <x:c r="L34" s="8" t="inlineStr">
        <x:is>
          <x:t xml:space="preserve">UNTESTED</x:t>
        </x:is>
      </x:c>
      <x:c r="M34" s="9" t="inlineStr">
        <x:is>
          <x:t xml:space="preserve">UNTESTED</x:t>
        </x:is>
      </x:c>
      <x:c r="N34" s="5" t="inlineStr">
        <x:is>
          <x:t xml:space="preserve">web/product research; comparison; price-value reasoning; shortlist generation</x:t>
        </x:is>
      </x:c>
      <x:c r="O34" s="5" t="inlineStr">
        <x:is>
          <x:t xml:space="preserve">High</x:t>
        </x:is>
      </x:c>
      <x:c r="P34" s="5" t="inlineStr">
        <x:is>
          <x:t xml:space="preserve">Medium</x:t>
        </x:is>
      </x:c>
      <x:c r="Q34" s="5" t="inlineStr">
        <x:is>
          <x:t xml:space="preserve">Medium</x:t>
        </x:is>
      </x:c>
      <x:c r="R34" s="5" t="inlineStr">
        <x:is>
          <x:t xml:space="preserve">Low</x:t>
        </x:is>
      </x:c>
      <x:c r="S34" s="5" t="inlineStr">
        <x:is>
          <x:t xml:space="preserve">Low</x:t>
        </x:is>
      </x:c>
      <x:c r="T34" s="5" t="inlineStr">
        <x:is>
          <x:t xml:space="preserve">ChatGPT with web</x:t>
        </x:is>
      </x:c>
      <x:c r="U34" s="5" t="inlineStr">
        <x:is>
          <x:t xml:space="preserve">Easy</x:t>
        </x:is>
      </x:c>
      <x:c r="V34" s="10" t="n">
        <x:v>1</x:v>
      </x:c>
      <x:c r="W34" s="5" t="inlineStr">
        <x:is>
          <x:t xml:space="preserve">Live shopping query + recommendation validation</x:t>
        </x:is>
      </x:c>
      <x:c r="X34" s="5" t="inlineStr">
        <x:is>
          <x:t xml:space="preserve">shortlist / recommendation / comparison / cart plan</x:t>
        </x:is>
      </x:c>
      <x:c r="Y34" s="5" t="inlineStr">
        <x:is>
          <x:t xml:space="preserve">Recommendation fits constraints and explains tradeoffs clearly.</x:t>
        </x:is>
      </x:c>
      <x:c r="Z34" s="5" t="inlineStr">
        <x:is>
          <x:t xml:space="preserve">Outdated products, poor fit, missed constraints, or shallow comparison.</x:t>
        </x:is>
      </x:c>
      <x:c r="AA34" s="5" t="inlineStr">
        <x:is>
          <x:t xml:space="preserve">web/product retrieval / comparison template / user preference memory</x:t>
        </x:is>
      </x:c>
      <x:c r="AB34" s="5" t="inlineStr">
        <x:is>
          <x:t xml:space="preserve"/>
        </x:is>
      </x:c>
      <x:c r="AC34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34" s="5" t="inlineStr">
        <x:is>
          <x:t xml:space="preserve">Deloitte Connected Consumer 2025; Salesforce Connected Shopper 2025; IAB 2025 shopping study</x:t>
        </x:is>
      </x:c>
      <x:c r="AE34" s="11">
        <x:f>IF(O34="High",20,IF(O34="Medium",10,IF(O34="Low",5,0)))+IF(P34="High",20,IF(P34="Medium",10,IF(P34="Low",5,0)))+IF(Q34="High",20,IF(Q34="Medium",10,IF(Q34="Low",5,0)))+IF(R34="High",20,IF(R34="Medium",10,IF(R34="Low",5,0)))+IF(S34="High",20,IF(S34="Medium",10,IF(S34="Low",5,0)))</x:f>
        <x:v>50</x:v>
      </x:c>
      <x:c r="AF34" s="12">
        <x:f>ROUND(H34*0.30+J34*0.25+K34*0.20+(100-AE34)*0.10+(100-(V34*20))*0.15,0)</x:f>
        <x:v>75</x:v>
      </x:c>
      <x:c r="AG34" s="13" t="str">
        <x:f>IF(AF34&gt;=80,"Batch 1",IF(AF34&gt;=70,"Batch 2",IF(AF34&gt;=60,"Batch 3","Backlog")))</x:f>
        <x:v>Batch 2</x:v>
      </x:c>
      <x:c r="AH34" t="inlineStr">
        <x:is>
          <x:t xml:space="preserve"/>
        </x:is>
      </x:c>
    </x:row>
    <x:row r="35">
      <x:c r="A35" s="5" t="inlineStr">
        <x:is>
          <x:t xml:space="preserve">GPO-COD-09</x:t>
        </x:is>
      </x:c>
      <x:c r="B35" s="5" t="n">
        <x:v>31</x:v>
      </x:c>
      <x:c r="C35" s="5" t="inlineStr">
        <x:is>
          <x:t xml:space="preserve">Code &amp; Product Engineering</x:t>
        </x:is>
      </x:c>
      <x:c r="D35" s="5" t="inlineStr">
        <x:is>
          <x:t xml:space="preserve">Build</x:t>
        </x:is>
      </x:c>
      <x:c r="E35" s="5" t="inlineStr">
        <x:is>
          <x:t xml:space="preserve">Core 150</x:t>
        </x:is>
      </x:c>
      <x:c r="F35" s="5" t="n">
        <x:v>9</x:v>
      </x:c>
      <x:c r="G35" s="5" t="inlineStr">
        <x:is>
          <x:t xml:space="preserve">Set up CI/CD, environments, secrets, and release gates for this project.</x:t>
        </x:is>
      </x:c>
      <x:c r="H35" s="6" t="n">
        <x:v>71</x:v>
      </x:c>
      <x:c r="I35" s="6" t="n">
        <x:v>71</x:v>
      </x:c>
      <x:c r="J35" s="7" t="n">
        <x:v>86</x:v>
      </x:c>
      <x:c r="K35" s="7" t="n">
        <x:v>78</x:v>
      </x:c>
      <x:c r="L35" s="8" t="inlineStr">
        <x:is>
          <x:t xml:space="preserve">UNTESTED</x:t>
        </x:is>
      </x:c>
      <x:c r="M35" s="9" t="inlineStr">
        <x:is>
          <x:t xml:space="preserve">UNTESTED</x:t>
        </x:is>
      </x:c>
      <x:c r="N35" s="5" t="inlineStr">
        <x:is>
          <x:t xml:space="preserve">routing; code reasoning; repo context; file edit; test execution; structured output</x:t>
        </x:is>
      </x:c>
      <x:c r="O35" s="5" t="inlineStr">
        <x:is>
          <x:t xml:space="preserve">No</x:t>
        </x:is>
      </x:c>
      <x:c r="P35" s="5" t="inlineStr">
        <x:is>
          <x:t xml:space="preserve">Medium</x:t>
        </x:is>
      </x:c>
      <x:c r="Q35" s="5" t="inlineStr">
        <x:is>
          <x:t xml:space="preserve">High</x:t>
        </x:is>
      </x:c>
      <x:c r="R35" s="5" t="inlineStr">
        <x:is>
          <x:t xml:space="preserve">Medium</x:t>
        </x:is>
      </x:c>
      <x:c r="S35" s="5" t="inlineStr">
        <x:is>
          <x:t xml:space="preserve">Low</x:t>
        </x:is>
      </x:c>
      <x:c r="T35" s="5" t="inlineStr">
        <x:is>
          <x:t xml:space="preserve">Claude Code primary; ChatGPT critique; web optional</x:t>
        </x:is>
      </x:c>
      <x:c r="U35" s="5" t="inlineStr">
        <x:is>
          <x:t xml:space="preserve">Easy</x:t>
        </x:is>
      </x:c>
      <x:c r="V35" s="10" t="n">
        <x:v>1</x:v>
      </x:c>
      <x:c r="W35" s="5" t="inlineStr">
        <x:is>
          <x:t xml:space="preserve">Live execution + code diff + output review</x:t>
        </x:is>
      </x:c>
      <x:c r="X35" s="5" t="inlineStr">
        <x:is>
          <x:t xml:space="preserve">code patch / spec / architecture / debug report</x:t>
        </x:is>
      </x:c>
      <x:c r="Y35" s="5" t="inlineStr">
        <x:is>
          <x:t xml:space="preserve">Produces correct technical plan or working code without breaking current behavior.</x:t>
        </x:is>
      </x:c>
      <x:c r="Z35" s="5" t="inlineStr">
        <x:is>
          <x:t xml:space="preserve">Hallucinated codebase facts, unsafe refactor, broken tests, or vague technical output.</x:t>
        </x:is>
      </x:c>
      <x:c r="AA35" s="5" t="inlineStr">
        <x:is>
          <x:t xml:space="preserve">routing / tool wiring / repo context / codegen guardrails</x:t>
        </x:is>
      </x:c>
      <x:c r="AB35" s="5" t="inlineStr">
        <x:is>
          <x:t xml:space="preserve"/>
        </x:is>
      </x:c>
      <x:c r="AC35" s="5" t="inlineStr">
        <x:is>
          <x:t xml:space="preserve">OpenAI/common use: writing+coding; Menlo enterprise coding is 55% of departmental AI spend; Deloitte top app: work assistance.</x:t>
        </x:is>
      </x:c>
      <x:c r="AD35" s="5" t="inlineStr">
        <x:is>
          <x:t xml:space="preserve">OpenAI GPT-5 / How People Use ChatGPT; Menlo State of GenAI in Enterprise 2025; Deloitte Connected Consumer 2025</x:t>
        </x:is>
      </x:c>
      <x:c r="AE35" s="11">
        <x:f>IF(O35="High",20,IF(O35="Medium",10,IF(O35="Low",5,0)))+IF(P35="High",20,IF(P35="Medium",10,IF(P35="Low",5,0)))+IF(Q35="High",20,IF(Q35="Medium",10,IF(Q35="Low",5,0)))+IF(R35="High",20,IF(R35="Medium",10,IF(R35="Low",5,0)))+IF(S35="High",20,IF(S35="Medium",10,IF(S35="Low",5,0)))</x:f>
        <x:v>45</x:v>
      </x:c>
      <x:c r="AF35" s="12">
        <x:f>ROUND(H35*0.30+J35*0.25+K35*0.20+(100-AE35)*0.10+(100-(V35*20))*0.15,0)</x:f>
        <x:v>76</x:v>
      </x:c>
      <x:c r="AG35" s="13" t="str">
        <x:f>IF(AF35&gt;=80,"Batch 1",IF(AF35&gt;=70,"Batch 2",IF(AF35&gt;=60,"Batch 3","Backlog")))</x:f>
        <x:v>Batch 2</x:v>
      </x:c>
      <x:c r="AH35" t="inlineStr">
        <x:is>
          <x:t xml:space="preserve"/>
        </x:is>
      </x:c>
    </x:row>
    <x:row r="36">
      <x:c r="A36" s="5" t="inlineStr">
        <x:is>
          <x:t xml:space="preserve">GPO-RES-06</x:t>
        </x:is>
      </x:c>
      <x:c r="B36" s="5" t="n">
        <x:v>32</x:v>
      </x:c>
      <x:c r="C36" s="5" t="inlineStr">
        <x:is>
          <x:t xml:space="preserve">Research &amp; Analysis</x:t>
        </x:is>
      </x:c>
      <x:c r="D36" s="5" t="inlineStr">
        <x:is>
          <x:t xml:space="preserve">Think</x:t>
        </x:is>
      </x:c>
      <x:c r="E36" s="5" t="inlineStr">
        <x:is>
          <x:t xml:space="preserve">Core 150</x:t>
        </x:is>
      </x:c>
      <x:c r="F36" s="5" t="n">
        <x:v>6</x:v>
      </x:c>
      <x:c r="G36" s="5" t="inlineStr">
        <x:is>
          <x:t xml:space="preserve">Explain the topic from first principles, then make it practical for me.</x:t>
        </x:is>
      </x:c>
      <x:c r="H36" s="6" t="n">
        <x:v>72</x:v>
      </x:c>
      <x:c r="I36" s="6" t="n">
        <x:v>72</x:v>
      </x:c>
      <x:c r="J36" s="7" t="n">
        <x:v>84</x:v>
      </x:c>
      <x:c r="K36" s="7" t="n">
        <x:v>77</x:v>
      </x:c>
      <x:c r="L36" s="8" t="inlineStr">
        <x:is>
          <x:t xml:space="preserve">UNTESTED</x:t>
        </x:is>
      </x:c>
      <x:c r="M36" s="9" t="inlineStr">
        <x:is>
          <x:t xml:space="preserve">UNTESTED</x:t>
        </x:is>
      </x:c>
      <x:c r="N36" s="5" t="inlineStr">
        <x:is>
          <x:t xml:space="preserve">web research; synthesis; citation discipline; decision framing</x:t>
        </x:is>
      </x:c>
      <x:c r="O36" s="5" t="inlineStr">
        <x:is>
          <x:t xml:space="preserve">High</x:t>
        </x:is>
      </x:c>
      <x:c r="P36" s="5" t="inlineStr">
        <x:is>
          <x:t xml:space="preserve">Medium</x:t>
        </x:is>
      </x:c>
      <x:c r="Q36" s="5" t="inlineStr">
        <x:is>
          <x:t xml:space="preserve">Medium</x:t>
        </x:is>
      </x:c>
      <x:c r="R36" s="5" t="inlineStr">
        <x:is>
          <x:t xml:space="preserve">Medium</x:t>
        </x:is>
      </x:c>
      <x:c r="S36" s="5" t="inlineStr">
        <x:is>
          <x:t xml:space="preserve">Low</x:t>
        </x:is>
      </x:c>
      <x:c r="T36" s="5" t="inlineStr">
        <x:is>
          <x:t xml:space="preserve">ChatGPT with web; Claude for synthesis</x:t>
        </x:is>
      </x:c>
      <x:c r="U36" s="5" t="inlineStr">
        <x:is>
          <x:t xml:space="preserve">Easy</x:t>
        </x:is>
      </x:c>
      <x:c r="V36" s="10" t="n">
        <x:v>1</x:v>
      </x:c>
      <x:c r="W36" s="5" t="inlineStr">
        <x:is>
          <x:t xml:space="preserve">Live research + source validation + recommendation review</x:t>
        </x:is>
      </x:c>
      <x:c r="X36" s="5" t="inlineStr">
        <x:is>
          <x:t xml:space="preserve">brief / comparison / decision memo / risk analysis</x:t>
        </x:is>
      </x:c>
      <x:c r="Y36" s="5" t="inlineStr">
        <x:is>
          <x:t xml:space="preserve">Accurate synthesis with evidence, tradeoffs, and a concrete recommendation.</x:t>
        </x:is>
      </x:c>
      <x:c r="Z36" s="5" t="inlineStr">
        <x:is>
          <x:t xml:space="preserve">Stale facts, no citations, weak reasoning, or surface-level synthesis.</x:t>
        </x:is>
      </x:c>
      <x:c r="AA36" s="5" t="inlineStr">
        <x:is>
          <x:t xml:space="preserve">web integration / citation enforcement / analysis rubric</x:t>
        </x:is>
      </x:c>
      <x:c r="AB36" s="5" t="inlineStr">
        <x:is>
          <x:t xml:space="preserve"/>
        </x:is>
      </x:c>
      <x:c r="AC36" s="5" t="inlineStr">
        <x:is>
          <x:t xml:space="preserve">OpenAI usage paper: Seeking Information is in top 3 categories; work/advice/search are common across Deloitte and OpenAI.</x:t>
        </x:is>
      </x:c>
      <x:c r="AD36" s="5" t="inlineStr">
        <x:is>
          <x:t xml:space="preserve">OpenAI How People Use ChatGPT paper; Deloitte Connected Consumer 2025</x:t>
        </x:is>
      </x:c>
      <x:c r="AE36" s="11">
        <x:f>IF(O36="High",20,IF(O36="Medium",10,IF(O36="Low",5,0)))+IF(P36="High",20,IF(P36="Medium",10,IF(P36="Low",5,0)))+IF(Q36="High",20,IF(Q36="Medium",10,IF(Q36="Low",5,0)))+IF(R36="High",20,IF(R36="Medium",10,IF(R36="Low",5,0)))+IF(S36="High",20,IF(S36="Medium",10,IF(S36="Low",5,0)))</x:f>
        <x:v>55</x:v>
      </x:c>
      <x:c r="AF36" s="12">
        <x:f>ROUND(H36*0.30+J36*0.25+K36*0.20+(100-AE36)*0.10+(100-(V36*20))*0.15,0)</x:f>
        <x:v>75</x:v>
      </x:c>
      <x:c r="AG36" s="13" t="str">
        <x:f>IF(AF36&gt;=80,"Batch 1",IF(AF36&gt;=70,"Batch 2",IF(AF36&gt;=60,"Batch 3","Backlog")))</x:f>
        <x:v>Batch 2</x:v>
      </x:c>
      <x:c r="AH36" t="inlineStr">
        <x:is>
          <x:t xml:space="preserve"/>
        </x:is>
      </x:c>
    </x:row>
    <x:row r="37">
      <x:c r="A37" s="5" t="inlineStr">
        <x:is>
          <x:t xml:space="preserve">GPO-WRI-09</x:t>
        </x:is>
      </x:c>
      <x:c r="B37" s="5" t="n">
        <x:v>33</x:v>
      </x:c>
      <x:c r="C37" s="5" t="inlineStr">
        <x:is>
          <x:t xml:space="preserve">Writing &amp; Documentation</x:t>
        </x:is>
      </x:c>
      <x:c r="D37" s="5" t="inlineStr">
        <x:is>
          <x:t xml:space="preserve">Create</x:t>
        </x:is>
      </x:c>
      <x:c r="E37" s="5" t="inlineStr">
        <x:is>
          <x:t xml:space="preserve">Core 150</x:t>
        </x:is>
      </x:c>
      <x:c r="F37" s="5" t="n">
        <x:v>9</x:v>
      </x:c>
      <x:c r="G37" s="5" t="inlineStr">
        <x:is>
          <x:t xml:space="preserve">Turn this messy meeting transcript into action items, owners, and deadlines.</x:t>
        </x:is>
      </x:c>
      <x:c r="H37" s="6" t="n">
        <x:v>69</x:v>
      </x:c>
      <x:c r="I37" s="6" t="n">
        <x:v>69</x:v>
      </x:c>
      <x:c r="J37" s="7" t="n">
        <x:v>88</x:v>
      </x:c>
      <x:c r="K37" s="7" t="n">
        <x:v>78</x:v>
      </x:c>
      <x:c r="L37" s="8" t="inlineStr">
        <x:is>
          <x:t xml:space="preserve">UNTESTED</x:t>
        </x:is>
      </x:c>
      <x:c r="M37" s="9" t="inlineStr">
        <x:is>
          <x:t xml:space="preserve">UNTESTED</x:t>
        </x:is>
      </x:c>
      <x:c r="N37" s="5" t="inlineStr">
        <x:is>
          <x:t xml:space="preserve">writing quality; summarization; style control; structured artifacts</x:t>
        </x:is>
      </x:c>
      <x:c r="O37" s="5" t="inlineStr">
        <x:is>
          <x:t xml:space="preserve">Low</x:t>
        </x:is>
      </x:c>
      <x:c r="P37" s="5" t="inlineStr">
        <x:is>
          <x:t xml:space="preserve">Medium</x:t>
        </x:is>
      </x:c>
      <x:c r="Q37" s="5" t="inlineStr">
        <x:is>
          <x:t xml:space="preserve">Low</x:t>
        </x:is>
      </x:c>
      <x:c r="R37" s="5" t="inlineStr">
        <x:is>
          <x:t xml:space="preserve">Low</x:t>
        </x:is>
      </x:c>
      <x:c r="S37" s="5" t="inlineStr">
        <x:is>
          <x:t xml:space="preserve">Low</x:t>
        </x:is>
      </x:c>
      <x:c r="T37" s="5" t="inlineStr">
        <x:is>
          <x:t xml:space="preserve">ChatGPT or Claude; human review optional</x:t>
        </x:is>
      </x:c>
      <x:c r="U37" s="5" t="inlineStr">
        <x:is>
          <x:t xml:space="preserve">Easy</x:t>
        </x:is>
      </x:c>
      <x:c r="V37" s="10" t="n">
        <x:v>1</x:v>
      </x:c>
      <x:c r="W37" s="5" t="inlineStr">
        <x:is>
          <x:t xml:space="preserve">Prompt execution + artifact quality review</x:t>
        </x:is>
      </x:c>
      <x:c r="X37" s="5" t="inlineStr">
        <x:is>
          <x:t xml:space="preserve">doc / memo / email / FAQ / summary</x:t>
        </x:is>
      </x:c>
      <x:c r="Y37" s="5" t="inlineStr">
        <x:is>
          <x:t xml:space="preserve">Output is clear, tailored, structurally sound, and immediately usable.</x:t>
        </x:is>
      </x:c>
      <x:c r="Z37" s="5" t="inlineStr">
        <x:is>
          <x:t xml:space="preserve">Generic tone, missing context, weak structure, or wrong audience level.</x:t>
        </x:is>
      </x:c>
      <x:c r="AA37" s="5" t="inlineStr">
        <x:is>
          <x:t xml:space="preserve">prompt pack / style guidance / output schema</x:t>
        </x:is>
      </x:c>
      <x:c r="AB37" s="5" t="inlineStr">
        <x:is>
          <x:t xml:space="preserve"/>
        </x:is>
      </x:c>
      <x:c r="AC37" s="5" t="inlineStr">
        <x:is>
          <x:t xml:space="preserve">OpenAI usage paper: Writing is in top 3 categories; Menlo consumer AI says 19% use AI to write emails and 18% get writing support.</x:t>
        </x:is>
      </x:c>
      <x:c r="AD37" s="5" t="inlineStr">
        <x:is>
          <x:t xml:space="preserve">OpenAI How People Use ChatGPT paper; Menlo State of Consumer AI 2025</x:t>
        </x:is>
      </x:c>
      <x:c r="AE37" s="11">
        <x:f>IF(O37="High",20,IF(O37="Medium",10,IF(O37="Low",5,0)))+IF(P37="High",20,IF(P37="Medium",10,IF(P37="Low",5,0)))+IF(Q37="High",20,IF(Q37="Medium",10,IF(Q37="Low",5,0)))+IF(R37="High",20,IF(R37="Medium",10,IF(R37="Low",5,0)))+IF(S37="High",20,IF(S37="Medium",10,IF(S37="Low",5,0)))</x:f>
        <x:v>30</x:v>
      </x:c>
      <x:c r="AF37" s="12">
        <x:f>ROUND(H37*0.30+J37*0.25+K37*0.20+(100-AE37)*0.10+(100-(V37*20))*0.15,0)</x:f>
        <x:v>77</x:v>
      </x:c>
      <x:c r="AG37" s="13" t="str">
        <x:f>IF(AF37&gt;=80,"Batch 1",IF(AF37&gt;=70,"Batch 2",IF(AF37&gt;=60,"Batch 3","Backlog")))</x:f>
        <x:v>Batch 2</x:v>
      </x:c>
      <x:c r="AH37" t="inlineStr">
        <x:is>
          <x:t xml:space="preserve"/>
        </x:is>
      </x:c>
    </x:row>
    <x:row r="38">
      <x:c r="A38" s="5" t="inlineStr">
        <x:is>
          <x:t xml:space="preserve">GPO-LEA-06</x:t>
        </x:is>
      </x:c>
      <x:c r="B38" s="5" t="n">
        <x:v>34</x:v>
      </x:c>
      <x:c r="C38" s="5" t="inlineStr">
        <x:is>
          <x:t xml:space="preserve">Learning &amp; Tutoring</x:t>
        </x:is>
      </x:c>
      <x:c r="D38" s="5" t="inlineStr">
        <x:is>
          <x:t xml:space="preserve">Grow</x:t>
        </x:is>
      </x:c>
      <x:c r="E38" s="5" t="inlineStr">
        <x:is>
          <x:t xml:space="preserve">Core 150</x:t>
        </x:is>
      </x:c>
      <x:c r="F38" s="5" t="n">
        <x:v>6</x:v>
      </x:c>
      <x:c r="G38" s="5" t="inlineStr">
        <x:is>
          <x:t xml:space="preserve">Help me understand why my answer is wrong and how to think correctly next time.</x:t>
        </x:is>
      </x:c>
      <x:c r="H38" s="6" t="n">
        <x:v>70</x:v>
      </x:c>
      <x:c r="I38" s="6" t="n">
        <x:v>70</x:v>
      </x:c>
      <x:c r="J38" s="7" t="n">
        <x:v>86</x:v>
      </x:c>
      <x:c r="K38" s="7" t="n">
        <x:v>77</x:v>
      </x:c>
      <x:c r="L38" s="8" t="inlineStr">
        <x:is>
          <x:t xml:space="preserve">UNTESTED</x:t>
        </x:is>
      </x:c>
      <x:c r="M38" s="9" t="inlineStr">
        <x:is>
          <x:t xml:space="preserve">UNTESTED</x:t>
        </x:is>
      </x:c>
      <x:c r="N38" s="5" t="inlineStr">
        <x:is>
          <x:t xml:space="preserve">adaptive tutoring; curriculum planning; quiz generation; context retention</x:t>
        </x:is>
      </x:c>
      <x:c r="O38" s="5" t="inlineStr">
        <x:is>
          <x:t xml:space="preserve">Low</x:t>
        </x:is>
      </x:c>
      <x:c r="P38" s="5" t="inlineStr">
        <x:is>
          <x:t xml:space="preserve">High</x:t>
        </x:is>
      </x:c>
      <x:c r="Q38" s="5" t="inlineStr">
        <x:is>
          <x:t xml:space="preserve">Low</x:t>
        </x:is>
      </x:c>
      <x:c r="R38" s="5" t="inlineStr">
        <x:is>
          <x:t xml:space="preserve">Low</x:t>
        </x:is>
      </x:c>
      <x:c r="S38" s="5" t="inlineStr">
        <x:is>
          <x:t xml:space="preserve">Low</x:t>
        </x:is>
      </x:c>
      <x:c r="T38" s="5" t="inlineStr">
        <x:is>
          <x:t xml:space="preserve">ChatGPT primary</x:t>
        </x:is>
      </x:c>
      <x:c r="U38" s="5" t="inlineStr">
        <x:is>
          <x:t xml:space="preserve">Easy</x:t>
        </x:is>
      </x:c>
      <x:c r="V38" s="10" t="n">
        <x:v>1</x:v>
      </x:c>
      <x:c r="W38" s="5" t="inlineStr">
        <x:is>
          <x:t xml:space="preserve">Interactive tutoring session + quality review</x:t>
        </x:is>
      </x:c>
      <x:c r="X38" s="5" t="inlineStr">
        <x:is>
          <x:t xml:space="preserve">lesson / plan / quiz / explanation</x:t>
        </x:is>
      </x:c>
      <x:c r="Y38" s="5" t="inlineStr">
        <x:is>
          <x:t xml:space="preserve">Teaching is accurate, adaptive, and improves understanding rather than over-answering.</x:t>
        </x:is>
      </x:c>
      <x:c r="Z38" s="5" t="inlineStr">
        <x:is>
          <x:t xml:space="preserve">Wrong explanations, over-helping, no adaptation, or generic curriculum.</x:t>
        </x:is>
      </x:c>
      <x:c r="AA38" s="5" t="inlineStr">
        <x:is>
          <x:t xml:space="preserve">tutor mode / memory / scaffolding logic</x:t>
        </x:is>
      </x:c>
      <x:c r="AB38" s="5" t="inlineStr">
        <x:is>
          <x:t xml:space="preserve"/>
        </x:is>
      </x:c>
      <x:c r="AC38" s="5" t="inlineStr">
        <x:is>
          <x:t xml:space="preserve">OpenAI practical guidance includes tutoring; HEPI 2025 says 88% of students use GenAI for assessments, often to explain concepts and summarize articles.</x:t>
        </x:is>
      </x:c>
      <x:c r="AD38" s="5" t="inlineStr">
        <x:is>
          <x:t xml:space="preserve">OpenAI How People Use ChatGPT paper; HEPI Student Generative AI Survey 2025; Brookings 2026 tutoring article</x:t>
        </x:is>
      </x:c>
      <x:c r="AE38" s="11">
        <x:f>IF(O38="High",20,IF(O38="Medium",10,IF(O38="Low",5,0)))+IF(P38="High",20,IF(P38="Medium",10,IF(P38="Low",5,0)))+IF(Q38="High",20,IF(Q38="Medium",10,IF(Q38="Low",5,0)))+IF(R38="High",20,IF(R38="Medium",10,IF(R38="Low",5,0)))+IF(S38="High",20,IF(S38="Medium",10,IF(S38="Low",5,0)))</x:f>
        <x:v>40</x:v>
      </x:c>
      <x:c r="AF38" s="12">
        <x:f>ROUND(H38*0.30+J38*0.25+K38*0.20+(100-AE38)*0.10+(100-(V38*20))*0.15,0)</x:f>
        <x:v>76</x:v>
      </x:c>
      <x:c r="AG38" s="13" t="str">
        <x:f>IF(AF38&gt;=80,"Batch 1",IF(AF38&gt;=70,"Batch 2",IF(AF38&gt;=60,"Batch 3","Backlog")))</x:f>
        <x:v>Batch 2</x:v>
      </x:c>
      <x:c r="AH38" t="inlineStr">
        <x:is>
          <x:t xml:space="preserve"/>
        </x:is>
      </x:c>
    </x:row>
    <x:row r="39">
      <x:c r="A39" s="5" t="inlineStr">
        <x:is>
          <x:t xml:space="preserve">GPO-SCH-04</x:t>
        </x:is>
      </x:c>
      <x:c r="B39" s="5" t="n">
        <x:v>35</x:v>
      </x:c>
      <x:c r="C39" s="5" t="inlineStr">
        <x:is>
          <x:t xml:space="preserve">Scheduling &amp; Life Operations</x:t>
        </x:is>
      </x:c>
      <x:c r="D39" s="5" t="inlineStr">
        <x:is>
          <x:t xml:space="preserve">Operate</x:t>
        </x:is>
      </x:c>
      <x:c r="E39" s="5" t="inlineStr">
        <x:is>
          <x:t xml:space="preserve">Core 150</x:t>
        </x:is>
      </x:c>
      <x:c r="F39" s="5" t="n">
        <x:v>4</x:v>
      </x:c>
      <x:c r="G39" s="5" t="inlineStr">
        <x:is>
          <x:t xml:space="preserve">Help me decide what to do next right now based on urgency and long-term value.</x:t>
        </x:is>
      </x:c>
      <x:c r="H39" s="6" t="n">
        <x:v>71</x:v>
      </x:c>
      <x:c r="I39" s="6" t="n">
        <x:v>71</x:v>
      </x:c>
      <x:c r="J39" s="7" t="n">
        <x:v>84</x:v>
      </x:c>
      <x:c r="K39" s="7" t="n">
        <x:v>77</x:v>
      </x:c>
      <x:c r="L39" s="8" t="inlineStr">
        <x:is>
          <x:t xml:space="preserve">UNTESTED</x:t>
        </x:is>
      </x:c>
      <x:c r="M39" s="9" t="inlineStr">
        <x:is>
          <x:t xml:space="preserve">UNTESTED</x:t>
        </x:is>
      </x:c>
      <x:c r="N39" s="5" t="inlineStr">
        <x:is>
          <x:t xml:space="preserve">task planning; prioritization; calendar reasoning; personal constraints handling</x:t>
        </x:is>
      </x:c>
      <x:c r="O39" s="5" t="inlineStr">
        <x:is>
          <x:t xml:space="preserve">Low</x:t>
        </x:is>
      </x:c>
      <x:c r="P39" s="5" t="inlineStr">
        <x:is>
          <x:t xml:space="preserve">High</x:t>
        </x:is>
      </x:c>
      <x:c r="Q39" s="5" t="inlineStr">
        <x:is>
          <x:t xml:space="preserve">Medium</x:t>
        </x:is>
      </x:c>
      <x:c r="R39" s="5" t="inlineStr">
        <x:is>
          <x:t xml:space="preserve">Low</x:t>
        </x:is>
      </x:c>
      <x:c r="S39" s="5" t="inlineStr">
        <x:is>
          <x:t xml:space="preserve">Low</x:t>
        </x:is>
      </x:c>
      <x:c r="T39" s="5" t="inlineStr">
        <x:is>
          <x:t xml:space="preserve">ChatGPT primary; calendar integrations later</x:t>
        </x:is>
      </x:c>
      <x:c r="U39" s="5" t="inlineStr">
        <x:is>
          <x:t xml:space="preserve">Easy</x:t>
        </x:is>
      </x:c>
      <x:c r="V39" s="10" t="n">
        <x:v>1</x:v>
      </x:c>
      <x:c r="W39" s="5" t="inlineStr">
        <x:is>
          <x:t xml:space="preserve">Scenario-based planning + operator utility review</x:t>
        </x:is>
      </x:c>
      <x:c r="X39" s="5" t="inlineStr">
        <x:is>
          <x:t xml:space="preserve">schedule / checklist / operating plan</x:t>
        </x:is>
      </x:c>
      <x:c r="Y39" s="5" t="inlineStr">
        <x:is>
          <x:t xml:space="preserve">Plan is realistic, prioritized, and executable under stated constraints.</x:t>
        </x:is>
      </x:c>
      <x:c r="Z39" s="5" t="inlineStr">
        <x:is>
          <x:t xml:space="preserve">Overpacked schedule, ignored constraints, or vague next steps.</x:t>
        </x:is>
      </x:c>
      <x:c r="AA39" s="5" t="inlineStr">
        <x:is>
          <x:t xml:space="preserve">planner engine / memory / calendar-tool integration</x:t>
        </x:is>
      </x:c>
      <x:c r="AB39" s="5" t="inlineStr">
        <x:is>
          <x:t xml:space="preserve"/>
        </x:is>
      </x:c>
      <x:c r="AC39" s="5" t="inlineStr">
        <x:is>
          <x:t xml:space="preserve">Menlo consumer AI: 18% use AI to manage to-do lists and 15% to organize notes; Zao-Sanders ranked 'Organise my life' #2.</x:t>
        </x:is>
      </x:c>
      <x:c r="AD39" s="5" t="inlineStr">
        <x:is>
          <x:t xml:space="preserve">Menlo State of Consumer AI 2025; Zao-Sanders Top-100 GenAI Use Cases 2025</x:t>
        </x:is>
      </x:c>
      <x:c r="AE39" s="11">
        <x:f>IF(O39="High",20,IF(O39="Medium",10,IF(O39="Low",5,0)))+IF(P39="High",20,IF(P39="Medium",10,IF(P39="Low",5,0)))+IF(Q39="High",20,IF(Q39="Medium",10,IF(Q39="Low",5,0)))+IF(R39="High",20,IF(R39="Medium",10,IF(R39="Low",5,0)))+IF(S39="High",20,IF(S39="Medium",10,IF(S39="Low",5,0)))</x:f>
        <x:v>45</x:v>
      </x:c>
      <x:c r="AF39" s="12">
        <x:f>ROUND(H39*0.30+J39*0.25+K39*0.20+(100-AE39)*0.10+(100-(V39*20))*0.15,0)</x:f>
        <x:v>75</x:v>
      </x:c>
      <x:c r="AG39" s="13" t="str">
        <x:f>IF(AF39&gt;=80,"Batch 1",IF(AF39&gt;=70,"Batch 2",IF(AF39&gt;=60,"Batch 3","Backlog")))</x:f>
        <x:v>Batch 2</x:v>
      </x:c>
      <x:c r="AH39" t="inlineStr">
        <x:is>
          <x:t xml:space="preserve"/>
        </x:is>
      </x:c>
    </x:row>
    <x:row r="40">
      <x:c r="A40" s="5" t="inlineStr">
        <x:is>
          <x:t xml:space="preserve">GPO-SHO-02</x:t>
        </x:is>
      </x:c>
      <x:c r="B40" s="5" t="n">
        <x:v>36</x:v>
      </x:c>
      <x:c r="C40" s="5" t="inlineStr">
        <x:is>
          <x:t xml:space="preserve">Shopping &amp; Buying Advisor</x:t>
        </x:is>
      </x:c>
      <x:c r="D40" s="5" t="inlineStr">
        <x:is>
          <x:t xml:space="preserve">Buy</x:t>
        </x:is>
      </x:c>
      <x:c r="E40" s="5" t="inlineStr">
        <x:is>
          <x:t xml:space="preserve">Core 150</x:t>
        </x:is>
      </x:c>
      <x:c r="F40" s="5" t="n">
        <x:v>2</x:v>
      </x:c>
      <x:c r="G40" s="5" t="inlineStr">
        <x:is>
          <x:t xml:space="preserve">Compare these these products and tell me which one is actually worth buying.</x:t>
        </x:is>
      </x:c>
      <x:c r="H40" s="6" t="n">
        <x:v>71</x:v>
      </x:c>
      <x:c r="I40" s="6" t="n">
        <x:v>71</x:v>
      </x:c>
      <x:c r="J40" s="7" t="n">
        <x:v>84</x:v>
      </x:c>
      <x:c r="K40" s="7" t="n">
        <x:v>77</x:v>
      </x:c>
      <x:c r="L40" s="8" t="inlineStr">
        <x:is>
          <x:t xml:space="preserve">UNTESTED</x:t>
        </x:is>
      </x:c>
      <x:c r="M40" s="9" t="inlineStr">
        <x:is>
          <x:t xml:space="preserve">UNTESTED</x:t>
        </x:is>
      </x:c>
      <x:c r="N40" s="5" t="inlineStr">
        <x:is>
          <x:t xml:space="preserve">web/product research; comparison; price-value reasoning; shortlist generation</x:t>
        </x:is>
      </x:c>
      <x:c r="O40" s="5" t="inlineStr">
        <x:is>
          <x:t xml:space="preserve">High</x:t>
        </x:is>
      </x:c>
      <x:c r="P40" s="5" t="inlineStr">
        <x:is>
          <x:t xml:space="preserve">Medium</x:t>
        </x:is>
      </x:c>
      <x:c r="Q40" s="5" t="inlineStr">
        <x:is>
          <x:t xml:space="preserve">Medium</x:t>
        </x:is>
      </x:c>
      <x:c r="R40" s="5" t="inlineStr">
        <x:is>
          <x:t xml:space="preserve">Low</x:t>
        </x:is>
      </x:c>
      <x:c r="S40" s="5" t="inlineStr">
        <x:is>
          <x:t xml:space="preserve">Low</x:t>
        </x:is>
      </x:c>
      <x:c r="T40" s="5" t="inlineStr">
        <x:is>
          <x:t xml:space="preserve">ChatGPT with web</x:t>
        </x:is>
      </x:c>
      <x:c r="U40" s="5" t="inlineStr">
        <x:is>
          <x:t xml:space="preserve">Easy</x:t>
        </x:is>
      </x:c>
      <x:c r="V40" s="10" t="n">
        <x:v>1</x:v>
      </x:c>
      <x:c r="W40" s="5" t="inlineStr">
        <x:is>
          <x:t xml:space="preserve">Live shopping query + recommendation validation</x:t>
        </x:is>
      </x:c>
      <x:c r="X40" s="5" t="inlineStr">
        <x:is>
          <x:t xml:space="preserve">shortlist / recommendation / comparison / cart plan</x:t>
        </x:is>
      </x:c>
      <x:c r="Y40" s="5" t="inlineStr">
        <x:is>
          <x:t xml:space="preserve">Recommendation fits constraints and explains tradeoffs clearly.</x:t>
        </x:is>
      </x:c>
      <x:c r="Z40" s="5" t="inlineStr">
        <x:is>
          <x:t xml:space="preserve">Outdated products, poor fit, missed constraints, or shallow comparison.</x:t>
        </x:is>
      </x:c>
      <x:c r="AA40" s="5" t="inlineStr">
        <x:is>
          <x:t xml:space="preserve">web/product retrieval / comparison template / user preference memory</x:t>
        </x:is>
      </x:c>
      <x:c r="AB40" s="5" t="inlineStr">
        <x:is>
          <x:t xml:space="preserve"/>
        </x:is>
      </x:c>
      <x:c r="AC40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40" s="5" t="inlineStr">
        <x:is>
          <x:t xml:space="preserve">Deloitte Connected Consumer 2025; Salesforce Connected Shopper 2025; IAB 2025 shopping study</x:t>
        </x:is>
      </x:c>
      <x:c r="AE40" s="11">
        <x:f>IF(O40="High",20,IF(O40="Medium",10,IF(O40="Low",5,0)))+IF(P40="High",20,IF(P40="Medium",10,IF(P40="Low",5,0)))+IF(Q40="High",20,IF(Q40="Medium",10,IF(Q40="Low",5,0)))+IF(R40="High",20,IF(R40="Medium",10,IF(R40="Low",5,0)))+IF(S40="High",20,IF(S40="Medium",10,IF(S40="Low",5,0)))</x:f>
        <x:v>50</x:v>
      </x:c>
      <x:c r="AF40" s="12">
        <x:f>ROUND(H40*0.30+J40*0.25+K40*0.20+(100-AE40)*0.10+(100-(V40*20))*0.15,0)</x:f>
        <x:v>75</x:v>
      </x:c>
      <x:c r="AG40" s="13" t="str">
        <x:f>IF(AF40&gt;=80,"Batch 1",IF(AF40&gt;=70,"Batch 2",IF(AF40&gt;=60,"Batch 3","Backlog")))</x:f>
        <x:v>Batch 2</x:v>
      </x:c>
      <x:c r="AH40" t="inlineStr">
        <x:is>
          <x:t xml:space="preserve"/>
        </x:is>
      </x:c>
    </x:row>
    <x:row r="41">
      <x:c r="A41" s="5" t="inlineStr">
        <x:is>
          <x:t xml:space="preserve">GPO-COD-10</x:t>
        </x:is>
      </x:c>
      <x:c r="B41" s="5" t="n">
        <x:v>37</x:v>
      </x:c>
      <x:c r="C41" s="5" t="inlineStr">
        <x:is>
          <x:t xml:space="preserve">Code &amp; Product Engineering</x:t>
        </x:is>
      </x:c>
      <x:c r="D41" s="5" t="inlineStr">
        <x:is>
          <x:t xml:space="preserve">Build</x:t>
        </x:is>
      </x:c>
      <x:c r="E41" s="5" t="inlineStr">
        <x:is>
          <x:t xml:space="preserve">Core 150</x:t>
        </x:is>
      </x:c>
      <x:c r="F41" s="5" t="n">
        <x:v>10</x:v>
      </x:c>
      <x:c r="G41" s="5" t="inlineStr">
        <x:is>
          <x:t xml:space="preserve">Trace this error from logs to root cause and explain it like an engineer on call.</x:t>
        </x:is>
      </x:c>
      <x:c r="H41" s="6" t="n">
        <x:v>69</x:v>
      </x:c>
      <x:c r="I41" s="6" t="n">
        <x:v>69</x:v>
      </x:c>
      <x:c r="J41" s="7" t="n">
        <x:v>85</x:v>
      </x:c>
      <x:c r="K41" s="7" t="n">
        <x:v>76</x:v>
      </x:c>
      <x:c r="L41" s="8" t="inlineStr">
        <x:is>
          <x:t xml:space="preserve">UNTESTED</x:t>
        </x:is>
      </x:c>
      <x:c r="M41" s="9" t="inlineStr">
        <x:is>
          <x:t xml:space="preserve">UNTESTED</x:t>
        </x:is>
      </x:c>
      <x:c r="N41" s="5" t="inlineStr">
        <x:is>
          <x:t xml:space="preserve">routing; code reasoning; repo context; file edit; test execution; structured output</x:t>
        </x:is>
      </x:c>
      <x:c r="O41" s="5" t="inlineStr">
        <x:is>
          <x:t xml:space="preserve">No</x:t>
        </x:is>
      </x:c>
      <x:c r="P41" s="5" t="inlineStr">
        <x:is>
          <x:t xml:space="preserve">Medium</x:t>
        </x:is>
      </x:c>
      <x:c r="Q41" s="5" t="inlineStr">
        <x:is>
          <x:t xml:space="preserve">High</x:t>
        </x:is>
      </x:c>
      <x:c r="R41" s="5" t="inlineStr">
        <x:is>
          <x:t xml:space="preserve">Medium</x:t>
        </x:is>
      </x:c>
      <x:c r="S41" s="5" t="inlineStr">
        <x:is>
          <x:t xml:space="preserve">Low</x:t>
        </x:is>
      </x:c>
      <x:c r="T41" s="5" t="inlineStr">
        <x:is>
          <x:t xml:space="preserve">Claude Code primary; ChatGPT critique; web optional</x:t>
        </x:is>
      </x:c>
      <x:c r="U41" s="5" t="inlineStr">
        <x:is>
          <x:t xml:space="preserve">Easy</x:t>
        </x:is>
      </x:c>
      <x:c r="V41" s="10" t="n">
        <x:v>1</x:v>
      </x:c>
      <x:c r="W41" s="5" t="inlineStr">
        <x:is>
          <x:t xml:space="preserve">Live execution + code diff + output review</x:t>
        </x:is>
      </x:c>
      <x:c r="X41" s="5" t="inlineStr">
        <x:is>
          <x:t xml:space="preserve">code patch / spec / architecture / debug report</x:t>
        </x:is>
      </x:c>
      <x:c r="Y41" s="5" t="inlineStr">
        <x:is>
          <x:t xml:space="preserve">Produces correct technical plan or working code without breaking current behavior.</x:t>
        </x:is>
      </x:c>
      <x:c r="Z41" s="5" t="inlineStr">
        <x:is>
          <x:t xml:space="preserve">Hallucinated codebase facts, unsafe refactor, broken tests, or vague technical output.</x:t>
        </x:is>
      </x:c>
      <x:c r="AA41" s="5" t="inlineStr">
        <x:is>
          <x:t xml:space="preserve">routing / tool wiring / repo context / codegen guardrails</x:t>
        </x:is>
      </x:c>
      <x:c r="AB41" s="5" t="inlineStr">
        <x:is>
          <x:t xml:space="preserve"/>
        </x:is>
      </x:c>
      <x:c r="AC41" s="5" t="inlineStr">
        <x:is>
          <x:t xml:space="preserve">OpenAI/common use: writing+coding; Menlo enterprise coding is 55% of departmental AI spend; Deloitte top app: work assistance.</x:t>
        </x:is>
      </x:c>
      <x:c r="AD41" s="5" t="inlineStr">
        <x:is>
          <x:t xml:space="preserve">OpenAI GPT-5 / How People Use ChatGPT; Menlo State of GenAI in Enterprise 2025; Deloitte Connected Consumer 2025</x:t>
        </x:is>
      </x:c>
      <x:c r="AE41" s="11">
        <x:f>IF(O41="High",20,IF(O41="Medium",10,IF(O41="Low",5,0)))+IF(P41="High",20,IF(P41="Medium",10,IF(P41="Low",5,0)))+IF(Q41="High",20,IF(Q41="Medium",10,IF(Q41="Low",5,0)))+IF(R41="High",20,IF(R41="Medium",10,IF(R41="Low",5,0)))+IF(S41="High",20,IF(S41="Medium",10,IF(S41="Low",5,0)))</x:f>
        <x:v>45</x:v>
      </x:c>
      <x:c r="AF41" s="12">
        <x:f>ROUND(H41*0.30+J41*0.25+K41*0.20+(100-AE41)*0.10+(100-(V41*20))*0.15,0)</x:f>
        <x:v>75</x:v>
      </x:c>
      <x:c r="AG41" s="13" t="str">
        <x:f>IF(AF41&gt;=80,"Batch 1",IF(AF41&gt;=70,"Batch 2",IF(AF41&gt;=60,"Batch 3","Backlog")))</x:f>
        <x:v>Batch 2</x:v>
      </x:c>
      <x:c r="AH41" t="inlineStr">
        <x:is>
          <x:t xml:space="preserve"/>
        </x:is>
      </x:c>
    </x:row>
    <x:row r="42">
      <x:c r="A42" s="5" t="inlineStr">
        <x:is>
          <x:t xml:space="preserve">GPO-LEA-07</x:t>
        </x:is>
      </x:c>
      <x:c r="B42" s="5" t="n">
        <x:v>38</x:v>
      </x:c>
      <x:c r="C42" s="5" t="inlineStr">
        <x:is>
          <x:t xml:space="preserve">Learning &amp; Tutoring</x:t>
        </x:is>
      </x:c>
      <x:c r="D42" s="5" t="inlineStr">
        <x:is>
          <x:t xml:space="preserve">Grow</x:t>
        </x:is>
      </x:c>
      <x:c r="E42" s="5" t="inlineStr">
        <x:is>
          <x:t xml:space="preserve">Core 150</x:t>
        </x:is>
      </x:c>
      <x:c r="F42" s="5" t="n">
        <x:v>7</x:v>
      </x:c>
      <x:c r="G42" s="5" t="inlineStr">
        <x:is>
          <x:t xml:space="preserve">Design a curriculum for learning the skill using only the highest-value resources.</x:t>
        </x:is>
      </x:c>
      <x:c r="H42" s="6" t="n">
        <x:v>69</x:v>
      </x:c>
      <x:c r="I42" s="6" t="n">
        <x:v>69</x:v>
      </x:c>
      <x:c r="J42" s="7" t="n">
        <x:v>85</x:v>
      </x:c>
      <x:c r="K42" s="7" t="n">
        <x:v>76</x:v>
      </x:c>
      <x:c r="L42" s="8" t="inlineStr">
        <x:is>
          <x:t xml:space="preserve">UNTESTED</x:t>
        </x:is>
      </x:c>
      <x:c r="M42" s="9" t="inlineStr">
        <x:is>
          <x:t xml:space="preserve">UNTESTED</x:t>
        </x:is>
      </x:c>
      <x:c r="N42" s="5" t="inlineStr">
        <x:is>
          <x:t xml:space="preserve">adaptive tutoring; curriculum planning; quiz generation; context retention</x:t>
        </x:is>
      </x:c>
      <x:c r="O42" s="5" t="inlineStr">
        <x:is>
          <x:t xml:space="preserve">Low</x:t>
        </x:is>
      </x:c>
      <x:c r="P42" s="5" t="inlineStr">
        <x:is>
          <x:t xml:space="preserve">High</x:t>
        </x:is>
      </x:c>
      <x:c r="Q42" s="5" t="inlineStr">
        <x:is>
          <x:t xml:space="preserve">Low</x:t>
        </x:is>
      </x:c>
      <x:c r="R42" s="5" t="inlineStr">
        <x:is>
          <x:t xml:space="preserve">Low</x:t>
        </x:is>
      </x:c>
      <x:c r="S42" s="5" t="inlineStr">
        <x:is>
          <x:t xml:space="preserve">Low</x:t>
        </x:is>
      </x:c>
      <x:c r="T42" s="5" t="inlineStr">
        <x:is>
          <x:t xml:space="preserve">ChatGPT primary</x:t>
        </x:is>
      </x:c>
      <x:c r="U42" s="5" t="inlineStr">
        <x:is>
          <x:t xml:space="preserve">Easy</x:t>
        </x:is>
      </x:c>
      <x:c r="V42" s="10" t="n">
        <x:v>1</x:v>
      </x:c>
      <x:c r="W42" s="5" t="inlineStr">
        <x:is>
          <x:t xml:space="preserve">Interactive tutoring session + quality review</x:t>
        </x:is>
      </x:c>
      <x:c r="X42" s="5" t="inlineStr">
        <x:is>
          <x:t xml:space="preserve">lesson / plan / quiz / explanation</x:t>
        </x:is>
      </x:c>
      <x:c r="Y42" s="5" t="inlineStr">
        <x:is>
          <x:t xml:space="preserve">Teaching is accurate, adaptive, and improves understanding rather than over-answering.</x:t>
        </x:is>
      </x:c>
      <x:c r="Z42" s="5" t="inlineStr">
        <x:is>
          <x:t xml:space="preserve">Wrong explanations, over-helping, no adaptation, or generic curriculum.</x:t>
        </x:is>
      </x:c>
      <x:c r="AA42" s="5" t="inlineStr">
        <x:is>
          <x:t xml:space="preserve">tutor mode / memory / scaffolding logic</x:t>
        </x:is>
      </x:c>
      <x:c r="AB42" s="5" t="inlineStr">
        <x:is>
          <x:t xml:space="preserve"/>
        </x:is>
      </x:c>
      <x:c r="AC42" s="5" t="inlineStr">
        <x:is>
          <x:t xml:space="preserve">OpenAI practical guidance includes tutoring; HEPI 2025 says 88% of students use GenAI for assessments, often to explain concepts and summarize articles.</x:t>
        </x:is>
      </x:c>
      <x:c r="AD42" s="5" t="inlineStr">
        <x:is>
          <x:t xml:space="preserve">OpenAI How People Use ChatGPT paper; HEPI Student Generative AI Survey 2025; Brookings 2026 tutoring article</x:t>
        </x:is>
      </x:c>
      <x:c r="AE42" s="11">
        <x:f>IF(O42="High",20,IF(O42="Medium",10,IF(O42="Low",5,0)))+IF(P42="High",20,IF(P42="Medium",10,IF(P42="Low",5,0)))+IF(Q42="High",20,IF(Q42="Medium",10,IF(Q42="Low",5,0)))+IF(R42="High",20,IF(R42="Medium",10,IF(R42="Low",5,0)))+IF(S42="High",20,IF(S42="Medium",10,IF(S42="Low",5,0)))</x:f>
        <x:v>40</x:v>
      </x:c>
      <x:c r="AF42" s="12">
        <x:f>ROUND(H42*0.30+J42*0.25+K42*0.20+(100-AE42)*0.10+(100-(V42*20))*0.15,0)</x:f>
        <x:v>75</x:v>
      </x:c>
      <x:c r="AG42" s="13" t="str">
        <x:f>IF(AF42&gt;=80,"Batch 1",IF(AF42&gt;=70,"Batch 2",IF(AF42&gt;=60,"Batch 3","Backlog")))</x:f>
        <x:v>Batch 2</x:v>
      </x:c>
      <x:c r="AH42" t="inlineStr">
        <x:is>
          <x:t xml:space="preserve"/>
        </x:is>
      </x:c>
    </x:row>
    <x:row r="43">
      <x:c r="A43" s="5" t="inlineStr">
        <x:is>
          <x:t xml:space="preserve">GPO-RES-07</x:t>
        </x:is>
      </x:c>
      <x:c r="B43" s="5" t="n">
        <x:v>39</x:v>
      </x:c>
      <x:c r="C43" s="5" t="inlineStr">
        <x:is>
          <x:t xml:space="preserve">Research &amp; Analysis</x:t>
        </x:is>
      </x:c>
      <x:c r="D43" s="5" t="inlineStr">
        <x:is>
          <x:t xml:space="preserve">Think</x:t>
        </x:is>
      </x:c>
      <x:c r="E43" s="5" t="inlineStr">
        <x:is>
          <x:t xml:space="preserve">Core 150</x:t>
        </x:is>
      </x:c>
      <x:c r="F43" s="5" t="n">
        <x:v>7</x:v>
      </x:c>
      <x:c r="G43" s="5" t="inlineStr">
        <x:is>
          <x:t xml:space="preserve">Create a due-diligence brief on the company including red flags.</x:t>
        </x:is>
      </x:c>
      <x:c r="H43" s="6" t="n">
        <x:v>70</x:v>
      </x:c>
      <x:c r="I43" s="6" t="n">
        <x:v>70</x:v>
      </x:c>
      <x:c r="J43" s="7" t="n">
        <x:v>83</x:v>
      </x:c>
      <x:c r="K43" s="7" t="n">
        <x:v>76</x:v>
      </x:c>
      <x:c r="L43" s="8" t="inlineStr">
        <x:is>
          <x:t xml:space="preserve">UNTESTED</x:t>
        </x:is>
      </x:c>
      <x:c r="M43" s="9" t="inlineStr">
        <x:is>
          <x:t xml:space="preserve">UNTESTED</x:t>
        </x:is>
      </x:c>
      <x:c r="N43" s="5" t="inlineStr">
        <x:is>
          <x:t xml:space="preserve">web research; synthesis; citation discipline; decision framing</x:t>
        </x:is>
      </x:c>
      <x:c r="O43" s="5" t="inlineStr">
        <x:is>
          <x:t xml:space="preserve">High</x:t>
        </x:is>
      </x:c>
      <x:c r="P43" s="5" t="inlineStr">
        <x:is>
          <x:t xml:space="preserve">Medium</x:t>
        </x:is>
      </x:c>
      <x:c r="Q43" s="5" t="inlineStr">
        <x:is>
          <x:t xml:space="preserve">Medium</x:t>
        </x:is>
      </x:c>
      <x:c r="R43" s="5" t="inlineStr">
        <x:is>
          <x:t xml:space="preserve">Medium</x:t>
        </x:is>
      </x:c>
      <x:c r="S43" s="5" t="inlineStr">
        <x:is>
          <x:t xml:space="preserve">Low</x:t>
        </x:is>
      </x:c>
      <x:c r="T43" s="5" t="inlineStr">
        <x:is>
          <x:t xml:space="preserve">ChatGPT with web; Claude for synthesis</x:t>
        </x:is>
      </x:c>
      <x:c r="U43" s="5" t="inlineStr">
        <x:is>
          <x:t xml:space="preserve">Easy</x:t>
        </x:is>
      </x:c>
      <x:c r="V43" s="10" t="n">
        <x:v>1</x:v>
      </x:c>
      <x:c r="W43" s="5" t="inlineStr">
        <x:is>
          <x:t xml:space="preserve">Live research + source validation + recommendation review</x:t>
        </x:is>
      </x:c>
      <x:c r="X43" s="5" t="inlineStr">
        <x:is>
          <x:t xml:space="preserve">brief / comparison / decision memo / risk analysis</x:t>
        </x:is>
      </x:c>
      <x:c r="Y43" s="5" t="inlineStr">
        <x:is>
          <x:t xml:space="preserve">Accurate synthesis with evidence, tradeoffs, and a concrete recommendation.</x:t>
        </x:is>
      </x:c>
      <x:c r="Z43" s="5" t="inlineStr">
        <x:is>
          <x:t xml:space="preserve">Stale facts, no citations, weak reasoning, or surface-level synthesis.</x:t>
        </x:is>
      </x:c>
      <x:c r="AA43" s="5" t="inlineStr">
        <x:is>
          <x:t xml:space="preserve">web integration / citation enforcement / analysis rubric</x:t>
        </x:is>
      </x:c>
      <x:c r="AB43" s="5" t="inlineStr">
        <x:is>
          <x:t xml:space="preserve"/>
        </x:is>
      </x:c>
      <x:c r="AC43" s="5" t="inlineStr">
        <x:is>
          <x:t xml:space="preserve">OpenAI usage paper: Seeking Information is in top 3 categories; work/advice/search are common across Deloitte and OpenAI.</x:t>
        </x:is>
      </x:c>
      <x:c r="AD43" s="5" t="inlineStr">
        <x:is>
          <x:t xml:space="preserve">OpenAI How People Use ChatGPT paper; Deloitte Connected Consumer 2025</x:t>
        </x:is>
      </x:c>
      <x:c r="AE43" s="11">
        <x:f>IF(O43="High",20,IF(O43="Medium",10,IF(O43="Low",5,0)))+IF(P43="High",20,IF(P43="Medium",10,IF(P43="Low",5,0)))+IF(Q43="High",20,IF(Q43="Medium",10,IF(Q43="Low",5,0)))+IF(R43="High",20,IF(R43="Medium",10,IF(R43="Low",5,0)))+IF(S43="High",20,IF(S43="Medium",10,IF(S43="Low",5,0)))</x:f>
        <x:v>55</x:v>
      </x:c>
      <x:c r="AF43" s="12">
        <x:f>ROUND(H43*0.30+J43*0.25+K43*0.20+(100-AE43)*0.10+(100-(V43*20))*0.15,0)</x:f>
        <x:v>73</x:v>
      </x:c>
      <x:c r="AG43" s="13" t="str">
        <x:f>IF(AF43&gt;=80,"Batch 1",IF(AF43&gt;=70,"Batch 2",IF(AF43&gt;=60,"Batch 3","Backlog")))</x:f>
        <x:v>Batch 2</x:v>
      </x:c>
      <x:c r="AH43" t="inlineStr">
        <x:is>
          <x:t xml:space="preserve"/>
        </x:is>
      </x:c>
    </x:row>
    <x:row r="44">
      <x:c r="A44" s="5" t="inlineStr">
        <x:is>
          <x:t xml:space="preserve">GPO-SCH-05</x:t>
        </x:is>
      </x:c>
      <x:c r="B44" s="5" t="n">
        <x:v>40</x:v>
      </x:c>
      <x:c r="C44" s="5" t="inlineStr">
        <x:is>
          <x:t xml:space="preserve">Scheduling &amp; Life Operations</x:t>
        </x:is>
      </x:c>
      <x:c r="D44" s="5" t="inlineStr">
        <x:is>
          <x:t xml:space="preserve">Operate</x:t>
        </x:is>
      </x:c>
      <x:c r="E44" s="5" t="inlineStr">
        <x:is>
          <x:t xml:space="preserve">Core 150</x:t>
        </x:is>
      </x:c>
      <x:c r="F44" s="5" t="n">
        <x:v>5</x:v>
      </x:c>
      <x:c r="G44" s="5" t="inlineStr">
        <x:is>
          <x:t xml:space="preserve">Create a trip/day/event itinerary that balances efficiency, energy, and enjoyment.</x:t>
        </x:is>
      </x:c>
      <x:c r="H44" s="6" t="n">
        <x:v>70</x:v>
      </x:c>
      <x:c r="I44" s="6" t="n">
        <x:v>70</x:v>
      </x:c>
      <x:c r="J44" s="7" t="n">
        <x:v>83</x:v>
      </x:c>
      <x:c r="K44" s="7" t="n">
        <x:v>76</x:v>
      </x:c>
      <x:c r="L44" s="8" t="inlineStr">
        <x:is>
          <x:t xml:space="preserve">UNTESTED</x:t>
        </x:is>
      </x:c>
      <x:c r="M44" s="9" t="inlineStr">
        <x:is>
          <x:t xml:space="preserve">UNTESTED</x:t>
        </x:is>
      </x:c>
      <x:c r="N44" s="5" t="inlineStr">
        <x:is>
          <x:t xml:space="preserve">task planning; prioritization; calendar reasoning; personal constraints handling</x:t>
        </x:is>
      </x:c>
      <x:c r="O44" s="5" t="inlineStr">
        <x:is>
          <x:t xml:space="preserve">Low</x:t>
        </x:is>
      </x:c>
      <x:c r="P44" s="5" t="inlineStr">
        <x:is>
          <x:t xml:space="preserve">High</x:t>
        </x:is>
      </x:c>
      <x:c r="Q44" s="5" t="inlineStr">
        <x:is>
          <x:t xml:space="preserve">Medium</x:t>
        </x:is>
      </x:c>
      <x:c r="R44" s="5" t="inlineStr">
        <x:is>
          <x:t xml:space="preserve">Low</x:t>
        </x:is>
      </x:c>
      <x:c r="S44" s="5" t="inlineStr">
        <x:is>
          <x:t xml:space="preserve">Low</x:t>
        </x:is>
      </x:c>
      <x:c r="T44" s="5" t="inlineStr">
        <x:is>
          <x:t xml:space="preserve">ChatGPT primary; calendar integrations later</x:t>
        </x:is>
      </x:c>
      <x:c r="U44" s="5" t="inlineStr">
        <x:is>
          <x:t xml:space="preserve">Easy</x:t>
        </x:is>
      </x:c>
      <x:c r="V44" s="10" t="n">
        <x:v>1</x:v>
      </x:c>
      <x:c r="W44" s="5" t="inlineStr">
        <x:is>
          <x:t xml:space="preserve">Scenario-based planning + operator utility review</x:t>
        </x:is>
      </x:c>
      <x:c r="X44" s="5" t="inlineStr">
        <x:is>
          <x:t xml:space="preserve">schedule / checklist / operating plan</x:t>
        </x:is>
      </x:c>
      <x:c r="Y44" s="5" t="inlineStr">
        <x:is>
          <x:t xml:space="preserve">Plan is realistic, prioritized, and executable under stated constraints.</x:t>
        </x:is>
      </x:c>
      <x:c r="Z44" s="5" t="inlineStr">
        <x:is>
          <x:t xml:space="preserve">Overpacked schedule, ignored constraints, or vague next steps.</x:t>
        </x:is>
      </x:c>
      <x:c r="AA44" s="5" t="inlineStr">
        <x:is>
          <x:t xml:space="preserve">planner engine / memory / calendar-tool integration</x:t>
        </x:is>
      </x:c>
      <x:c r="AB44" s="5" t="inlineStr">
        <x:is>
          <x:t xml:space="preserve"/>
        </x:is>
      </x:c>
      <x:c r="AC44" s="5" t="inlineStr">
        <x:is>
          <x:t xml:space="preserve">Menlo consumer AI: 18% use AI to manage to-do lists and 15% to organize notes; Zao-Sanders ranked 'Organise my life' #2.</x:t>
        </x:is>
      </x:c>
      <x:c r="AD44" s="5" t="inlineStr">
        <x:is>
          <x:t xml:space="preserve">Menlo State of Consumer AI 2025; Zao-Sanders Top-100 GenAI Use Cases 2025</x:t>
        </x:is>
      </x:c>
      <x:c r="AE44" s="11">
        <x:f>IF(O44="High",20,IF(O44="Medium",10,IF(O44="Low",5,0)))+IF(P44="High",20,IF(P44="Medium",10,IF(P44="Low",5,0)))+IF(Q44="High",20,IF(Q44="Medium",10,IF(Q44="Low",5,0)))+IF(R44="High",20,IF(R44="Medium",10,IF(R44="Low",5,0)))+IF(S44="High",20,IF(S44="Medium",10,IF(S44="Low",5,0)))</x:f>
        <x:v>45</x:v>
      </x:c>
      <x:c r="AF44" s="12">
        <x:f>ROUND(H44*0.30+J44*0.25+K44*0.20+(100-AE44)*0.10+(100-(V44*20))*0.15,0)</x:f>
        <x:v>74</x:v>
      </x:c>
      <x:c r="AG44" s="13" t="str">
        <x:f>IF(AF44&gt;=80,"Batch 1",IF(AF44&gt;=70,"Batch 2",IF(AF44&gt;=60,"Batch 3","Backlog")))</x:f>
        <x:v>Batch 2</x:v>
      </x:c>
      <x:c r="AH44" t="inlineStr">
        <x:is>
          <x:t xml:space="preserve"/>
        </x:is>
      </x:c>
    </x:row>
    <x:row r="45">
      <x:c r="A45" s="5" t="inlineStr">
        <x:is>
          <x:t xml:space="preserve">GPO-TRA-01</x:t>
        </x:is>
      </x:c>
      <x:c r="B45" s="5" t="n">
        <x:v>41</x:v>
      </x:c>
      <x:c r="C45" s="5" t="inlineStr">
        <x:is>
          <x:t xml:space="preserve">Travel &amp; Relocation Planner</x:t>
        </x:is>
      </x:c>
      <x:c r="D45" s="5" t="inlineStr">
        <x:is>
          <x:t xml:space="preserve">Move</x:t>
        </x:is>
      </x:c>
      <x:c r="E45" s="5" t="inlineStr">
        <x:is>
          <x:t xml:space="preserve">Core 150</x:t>
        </x:is>
      </x:c>
      <x:c r="F45" s="5" t="n">
        <x:v>1</x:v>
      </x:c>
      <x:c r="G45" s="5" t="inlineStr">
        <x:is>
          <x:t xml:space="preserve">Plan a complete trip to this destination based on my budget, vibe, and constraints.</x:t>
        </x:is>
      </x:c>
      <x:c r="H45" s="6" t="n">
        <x:v>70</x:v>
      </x:c>
      <x:c r="I45" s="6" t="n">
        <x:v>70</x:v>
      </x:c>
      <x:c r="J45" s="7" t="n">
        <x:v>83</x:v>
      </x:c>
      <x:c r="K45" s="7" t="n">
        <x:v>76</x:v>
      </x:c>
      <x:c r="L45" s="8" t="inlineStr">
        <x:is>
          <x:t xml:space="preserve">UNTESTED</x:t>
        </x:is>
      </x:c>
      <x:c r="M45" s="9" t="inlineStr">
        <x:is>
          <x:t xml:space="preserve">UNTESTED</x:t>
        </x:is>
      </x:c>
      <x:c r="N45" s="5" t="inlineStr">
        <x:is>
          <x:t xml:space="preserve">travel research; itinerary planning; logistics reasoning; contingency planning</x:t>
        </x:is>
      </x:c>
      <x:c r="O45" s="5" t="inlineStr">
        <x:is>
          <x:t xml:space="preserve">High</x:t>
        </x:is>
      </x:c>
      <x:c r="P45" s="5" t="inlineStr">
        <x:is>
          <x:t xml:space="preserve">Medium</x:t>
        </x:is>
      </x:c>
      <x:c r="Q45" s="5" t="inlineStr">
        <x:is>
          <x:t xml:space="preserve">Medium</x:t>
        </x:is>
      </x:c>
      <x:c r="R45" s="5" t="inlineStr">
        <x:is>
          <x:t xml:space="preserve">Low</x:t>
        </x:is>
      </x:c>
      <x:c r="S45" s="5" t="inlineStr">
        <x:is>
          <x:t xml:space="preserve">Low</x:t>
        </x:is>
      </x:c>
      <x:c r="T45" s="5" t="inlineStr">
        <x:is>
          <x:t xml:space="preserve">ChatGPT with web; maps/calendar later</x:t>
        </x:is>
      </x:c>
      <x:c r="U45" s="5" t="inlineStr">
        <x:is>
          <x:t xml:space="preserve">Easy</x:t>
        </x:is>
      </x:c>
      <x:c r="V45" s="10" t="n">
        <x:v>1</x:v>
      </x:c>
      <x:c r="W45" s="5" t="inlineStr">
        <x:is>
          <x:t xml:space="preserve">Live trip planning + feasibility review</x:t>
        </x:is>
      </x:c>
      <x:c r="X45" s="5" t="inlineStr">
        <x:is>
          <x:t xml:space="preserve">itinerary / relocation plan / checklist</x:t>
        </x:is>
      </x:c>
      <x:c r="Y45" s="5" t="inlineStr">
        <x:is>
          <x:t xml:space="preserve">Plan is current, geographically sensible, and tuned to budget/constraints.</x:t>
        </x:is>
      </x:c>
      <x:c r="Z45" s="5" t="inlineStr">
        <x:is>
          <x:t xml:space="preserve">Bad logistics, stale info, wrong timing, or generic travel advice.</x:t>
        </x:is>
      </x:c>
      <x:c r="AA45" s="5" t="inlineStr">
        <x:is>
          <x:t xml:space="preserve">travel templates / web + mapping integration / logistics engine</x:t>
        </x:is>
      </x:c>
      <x:c r="AB45" s="5" t="inlineStr">
        <x:is>
          <x:t xml:space="preserve"/>
        </x:is>
      </x:c>
      <x:c r="AC45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45" s="5" t="inlineStr">
        <x:is>
          <x:t xml:space="preserve">Deloitte Connected Consumer 2025; Adobe travel planning 2025</x:t>
        </x:is>
      </x:c>
      <x:c r="AE45" s="11">
        <x:f>IF(O45="High",20,IF(O45="Medium",10,IF(O45="Low",5,0)))+IF(P45="High",20,IF(P45="Medium",10,IF(P45="Low",5,0)))+IF(Q45="High",20,IF(Q45="Medium",10,IF(Q45="Low",5,0)))+IF(R45="High",20,IF(R45="Medium",10,IF(R45="Low",5,0)))+IF(S45="High",20,IF(S45="Medium",10,IF(S45="Low",5,0)))</x:f>
        <x:v>50</x:v>
      </x:c>
      <x:c r="AF45" s="12">
        <x:f>ROUND(H45*0.30+J45*0.25+K45*0.20+(100-AE45)*0.10+(100-(V45*20))*0.15,0)</x:f>
        <x:v>74</x:v>
      </x:c>
      <x:c r="AG45" s="13" t="str">
        <x:f>IF(AF45&gt;=80,"Batch 1",IF(AF45&gt;=70,"Batch 2",IF(AF45&gt;=60,"Batch 3","Backlog")))</x:f>
        <x:v>Batch 2</x:v>
      </x:c>
      <x:c r="AH45" t="inlineStr">
        <x:is>
          <x:t xml:space="preserve"/>
        </x:is>
      </x:c>
    </x:row>
    <x:row r="46">
      <x:c r="A46" s="5" t="inlineStr">
        <x:is>
          <x:t xml:space="preserve">GPO-WRI-10</x:t>
        </x:is>
      </x:c>
      <x:c r="B46" s="5" t="n">
        <x:v>42</x:v>
      </x:c>
      <x:c r="C46" s="5" t="inlineStr">
        <x:is>
          <x:t xml:space="preserve">Writing &amp; Documentation</x:t>
        </x:is>
      </x:c>
      <x:c r="D46" s="5" t="inlineStr">
        <x:is>
          <x:t xml:space="preserve">Create</x:t>
        </x:is>
      </x:c>
      <x:c r="E46" s="5" t="inlineStr">
        <x:is>
          <x:t xml:space="preserve">Core 150</x:t>
        </x:is>
      </x:c>
      <x:c r="F46" s="5" t="n">
        <x:v>10</x:v>
      </x:c>
      <x:c r="G46" s="5" t="inlineStr">
        <x:is>
          <x:t xml:space="preserve">Write FAQs for {product_or_feature} based on real user confusion points.</x:t>
        </x:is>
      </x:c>
      <x:c r="H46" s="6" t="n">
        <x:v>67</x:v>
      </x:c>
      <x:c r="I46" s="6" t="n">
        <x:v>67</x:v>
      </x:c>
      <x:c r="J46" s="7" t="n">
        <x:v>87</x:v>
      </x:c>
      <x:c r="K46" s="7" t="n">
        <x:v>76</x:v>
      </x:c>
      <x:c r="L46" s="8" t="inlineStr">
        <x:is>
          <x:t xml:space="preserve">UNTESTED</x:t>
        </x:is>
      </x:c>
      <x:c r="M46" s="9" t="inlineStr">
        <x:is>
          <x:t xml:space="preserve">UNTESTED</x:t>
        </x:is>
      </x:c>
      <x:c r="N46" s="5" t="inlineStr">
        <x:is>
          <x:t xml:space="preserve">writing quality; summarization; style control; structured artifacts</x:t>
        </x:is>
      </x:c>
      <x:c r="O46" s="5" t="inlineStr">
        <x:is>
          <x:t xml:space="preserve">Low</x:t>
        </x:is>
      </x:c>
      <x:c r="P46" s="5" t="inlineStr">
        <x:is>
          <x:t xml:space="preserve">Medium</x:t>
        </x:is>
      </x:c>
      <x:c r="Q46" s="5" t="inlineStr">
        <x:is>
          <x:t xml:space="preserve">Low</x:t>
        </x:is>
      </x:c>
      <x:c r="R46" s="5" t="inlineStr">
        <x:is>
          <x:t xml:space="preserve">Low</x:t>
        </x:is>
      </x:c>
      <x:c r="S46" s="5" t="inlineStr">
        <x:is>
          <x:t xml:space="preserve">Low</x:t>
        </x:is>
      </x:c>
      <x:c r="T46" s="5" t="inlineStr">
        <x:is>
          <x:t xml:space="preserve">ChatGPT or Claude; human review optional</x:t>
        </x:is>
      </x:c>
      <x:c r="U46" s="5" t="inlineStr">
        <x:is>
          <x:t xml:space="preserve">Easy</x:t>
        </x:is>
      </x:c>
      <x:c r="V46" s="10" t="n">
        <x:v>1</x:v>
      </x:c>
      <x:c r="W46" s="5" t="inlineStr">
        <x:is>
          <x:t xml:space="preserve">Prompt execution + artifact quality review</x:t>
        </x:is>
      </x:c>
      <x:c r="X46" s="5" t="inlineStr">
        <x:is>
          <x:t xml:space="preserve">doc / memo / email / FAQ / summary</x:t>
        </x:is>
      </x:c>
      <x:c r="Y46" s="5" t="inlineStr">
        <x:is>
          <x:t xml:space="preserve">Output is clear, tailored, structurally sound, and immediately usable.</x:t>
        </x:is>
      </x:c>
      <x:c r="Z46" s="5" t="inlineStr">
        <x:is>
          <x:t xml:space="preserve">Generic tone, missing context, weak structure, or wrong audience level.</x:t>
        </x:is>
      </x:c>
      <x:c r="AA46" s="5" t="inlineStr">
        <x:is>
          <x:t xml:space="preserve">prompt pack / style guidance / output schema</x:t>
        </x:is>
      </x:c>
      <x:c r="AB46" s="5" t="inlineStr">
        <x:is>
          <x:t xml:space="preserve"/>
        </x:is>
      </x:c>
      <x:c r="AC46" s="5" t="inlineStr">
        <x:is>
          <x:t xml:space="preserve">OpenAI usage paper: Writing is in top 3 categories; Menlo consumer AI says 19% use AI to write emails and 18% get writing support.</x:t>
        </x:is>
      </x:c>
      <x:c r="AD46" s="5" t="inlineStr">
        <x:is>
          <x:t xml:space="preserve">OpenAI How People Use ChatGPT paper; Menlo State of Consumer AI 2025</x:t>
        </x:is>
      </x:c>
      <x:c r="AE46" s="11">
        <x:f>IF(O46="High",20,IF(O46="Medium",10,IF(O46="Low",5,0)))+IF(P46="High",20,IF(P46="Medium",10,IF(P46="Low",5,0)))+IF(Q46="High",20,IF(Q46="Medium",10,IF(Q46="Low",5,0)))+IF(R46="High",20,IF(R46="Medium",10,IF(R46="Low",5,0)))+IF(S46="High",20,IF(S46="Medium",10,IF(S46="Low",5,0)))</x:f>
        <x:v>30</x:v>
      </x:c>
      <x:c r="AF46" s="12">
        <x:f>ROUND(H46*0.30+J46*0.25+K46*0.20+(100-AE46)*0.10+(100-(V46*20))*0.15,0)</x:f>
        <x:v>76</x:v>
      </x:c>
      <x:c r="AG46" s="13" t="str">
        <x:f>IF(AF46&gt;=80,"Batch 1",IF(AF46&gt;=70,"Batch 2",IF(AF46&gt;=60,"Batch 3","Backlog")))</x:f>
        <x:v>Batch 2</x:v>
      </x:c>
      <x:c r="AH46" t="inlineStr">
        <x:is>
          <x:t xml:space="preserve"/>
        </x:is>
      </x:c>
    </x:row>
    <x:row r="47">
      <x:c r="A47" s="5" t="inlineStr">
        <x:is>
          <x:t xml:space="preserve">GPO-SHO-03</x:t>
        </x:is>
      </x:c>
      <x:c r="B47" s="5" t="n">
        <x:v>43</x:v>
      </x:c>
      <x:c r="C47" s="5" t="inlineStr">
        <x:is>
          <x:t xml:space="preserve">Shopping &amp; Buying Advisor</x:t>
        </x:is>
      </x:c>
      <x:c r="D47" s="5" t="inlineStr">
        <x:is>
          <x:t xml:space="preserve">Buy</x:t>
        </x:is>
      </x:c>
      <x:c r="E47" s="5" t="inlineStr">
        <x:is>
          <x:t xml:space="preserve">Core 150</x:t>
        </x:is>
      </x:c>
      <x:c r="F47" s="5" t="n">
        <x:v>3</x:v>
      </x:c>
      <x:c r="G47" s="5" t="inlineStr">
        <x:is>
          <x:t xml:space="preserve">Find the best value option for my need without cheaping out on quality.</x:t>
        </x:is>
      </x:c>
      <x:c r="H47" s="6" t="n">
        <x:v>69</x:v>
      </x:c>
      <x:c r="I47" s="6" t="n">
        <x:v>69</x:v>
      </x:c>
      <x:c r="J47" s="7" t="n">
        <x:v>83</x:v>
      </x:c>
      <x:c r="K47" s="7" t="n">
        <x:v>75</x:v>
      </x:c>
      <x:c r="L47" s="8" t="inlineStr">
        <x:is>
          <x:t xml:space="preserve">UNTESTED</x:t>
        </x:is>
      </x:c>
      <x:c r="M47" s="9" t="inlineStr">
        <x:is>
          <x:t xml:space="preserve">UNTESTED</x:t>
        </x:is>
      </x:c>
      <x:c r="N47" s="5" t="inlineStr">
        <x:is>
          <x:t xml:space="preserve">web/product research; comparison; price-value reasoning; shortlist generation</x:t>
        </x:is>
      </x:c>
      <x:c r="O47" s="5" t="inlineStr">
        <x:is>
          <x:t xml:space="preserve">High</x:t>
        </x:is>
      </x:c>
      <x:c r="P47" s="5" t="inlineStr">
        <x:is>
          <x:t xml:space="preserve">Medium</x:t>
        </x:is>
      </x:c>
      <x:c r="Q47" s="5" t="inlineStr">
        <x:is>
          <x:t xml:space="preserve">Medium</x:t>
        </x:is>
      </x:c>
      <x:c r="R47" s="5" t="inlineStr">
        <x:is>
          <x:t xml:space="preserve">Low</x:t>
        </x:is>
      </x:c>
      <x:c r="S47" s="5" t="inlineStr">
        <x:is>
          <x:t xml:space="preserve">Low</x:t>
        </x:is>
      </x:c>
      <x:c r="T47" s="5" t="inlineStr">
        <x:is>
          <x:t xml:space="preserve">ChatGPT with web</x:t>
        </x:is>
      </x:c>
      <x:c r="U47" s="5" t="inlineStr">
        <x:is>
          <x:t xml:space="preserve">Easy</x:t>
        </x:is>
      </x:c>
      <x:c r="V47" s="10" t="n">
        <x:v>1</x:v>
      </x:c>
      <x:c r="W47" s="5" t="inlineStr">
        <x:is>
          <x:t xml:space="preserve">Live shopping query + recommendation validation</x:t>
        </x:is>
      </x:c>
      <x:c r="X47" s="5" t="inlineStr">
        <x:is>
          <x:t xml:space="preserve">shortlist / recommendation / comparison / cart plan</x:t>
        </x:is>
      </x:c>
      <x:c r="Y47" s="5" t="inlineStr">
        <x:is>
          <x:t xml:space="preserve">Recommendation fits constraints and explains tradeoffs clearly.</x:t>
        </x:is>
      </x:c>
      <x:c r="Z47" s="5" t="inlineStr">
        <x:is>
          <x:t xml:space="preserve">Outdated products, poor fit, missed constraints, or shallow comparison.</x:t>
        </x:is>
      </x:c>
      <x:c r="AA47" s="5" t="inlineStr">
        <x:is>
          <x:t xml:space="preserve">web/product retrieval / comparison template / user preference memory</x:t>
        </x:is>
      </x:c>
      <x:c r="AB47" s="5" t="inlineStr">
        <x:is>
          <x:t xml:space="preserve"/>
        </x:is>
      </x:c>
      <x:c r="AC47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47" s="5" t="inlineStr">
        <x:is>
          <x:t xml:space="preserve">Deloitte Connected Consumer 2025; Salesforce Connected Shopper 2025; IAB 2025 shopping study</x:t>
        </x:is>
      </x:c>
      <x:c r="AE47" s="11">
        <x:f>IF(O47="High",20,IF(O47="Medium",10,IF(O47="Low",5,0)))+IF(P47="High",20,IF(P47="Medium",10,IF(P47="Low",5,0)))+IF(Q47="High",20,IF(Q47="Medium",10,IF(Q47="Low",5,0)))+IF(R47="High",20,IF(R47="Medium",10,IF(R47="Low",5,0)))+IF(S47="High",20,IF(S47="Medium",10,IF(S47="Low",5,0)))</x:f>
        <x:v>50</x:v>
      </x:c>
      <x:c r="AF47" s="12">
        <x:f>ROUND(H47*0.30+J47*0.25+K47*0.20+(100-AE47)*0.10+(100-(V47*20))*0.15,0)</x:f>
        <x:v>73</x:v>
      </x:c>
      <x:c r="AG47" s="13" t="str">
        <x:f>IF(AF47&gt;=80,"Batch 1",IF(AF47&gt;=70,"Batch 2",IF(AF47&gt;=60,"Batch 3","Backlog")))</x:f>
        <x:v>Batch 2</x:v>
      </x:c>
      <x:c r="AH47" t="inlineStr">
        <x:is>
          <x:t xml:space="preserve"/>
        </x:is>
      </x:c>
    </x:row>
    <x:row r="48">
      <x:c r="A48" s="5" t="inlineStr">
        <x:is>
          <x:t xml:space="preserve">GPO-RES-08</x:t>
        </x:is>
      </x:c>
      <x:c r="B48" s="5" t="n">
        <x:v>44</x:v>
      </x:c>
      <x:c r="C48" s="5" t="inlineStr">
        <x:is>
          <x:t xml:space="preserve">Research &amp; Analysis</x:t>
        </x:is>
      </x:c>
      <x:c r="D48" s="5" t="inlineStr">
        <x:is>
          <x:t xml:space="preserve">Think</x:t>
        </x:is>
      </x:c>
      <x:c r="E48" s="5" t="inlineStr">
        <x:is>
          <x:t xml:space="preserve">Core 150</x:t>
        </x:is>
      </x:c>
      <x:c r="F48" s="5" t="n">
        <x:v>8</x:v>
      </x:c>
      <x:c r="G48" s="5" t="inlineStr">
        <x:is>
          <x:t xml:space="preserve">Turn this raw dataset/report into insights, risks, and executive takeaways.</x:t>
        </x:is>
      </x:c>
      <x:c r="H48" s="6" t="n">
        <x:v>69</x:v>
      </x:c>
      <x:c r="I48" s="6" t="n">
        <x:v>69</x:v>
      </x:c>
      <x:c r="J48" s="7" t="n">
        <x:v>82</x:v>
      </x:c>
      <x:c r="K48" s="7" t="n">
        <x:v>75</x:v>
      </x:c>
      <x:c r="L48" s="8" t="inlineStr">
        <x:is>
          <x:t xml:space="preserve">UNTESTED</x:t>
        </x:is>
      </x:c>
      <x:c r="M48" s="9" t="inlineStr">
        <x:is>
          <x:t xml:space="preserve">UNTESTED</x:t>
        </x:is>
      </x:c>
      <x:c r="N48" s="5" t="inlineStr">
        <x:is>
          <x:t xml:space="preserve">web research; synthesis; citation discipline; decision framing</x:t>
        </x:is>
      </x:c>
      <x:c r="O48" s="5" t="inlineStr">
        <x:is>
          <x:t xml:space="preserve">High</x:t>
        </x:is>
      </x:c>
      <x:c r="P48" s="5" t="inlineStr">
        <x:is>
          <x:t xml:space="preserve">Medium</x:t>
        </x:is>
      </x:c>
      <x:c r="Q48" s="5" t="inlineStr">
        <x:is>
          <x:t xml:space="preserve">Medium</x:t>
        </x:is>
      </x:c>
      <x:c r="R48" s="5" t="inlineStr">
        <x:is>
          <x:t xml:space="preserve">Medium</x:t>
        </x:is>
      </x:c>
      <x:c r="S48" s="5" t="inlineStr">
        <x:is>
          <x:t xml:space="preserve">Low</x:t>
        </x:is>
      </x:c>
      <x:c r="T48" s="5" t="inlineStr">
        <x:is>
          <x:t xml:space="preserve">ChatGPT with web; Claude for synthesis</x:t>
        </x:is>
      </x:c>
      <x:c r="U48" s="5" t="inlineStr">
        <x:is>
          <x:t xml:space="preserve">Easy</x:t>
        </x:is>
      </x:c>
      <x:c r="V48" s="10" t="n">
        <x:v>1</x:v>
      </x:c>
      <x:c r="W48" s="5" t="inlineStr">
        <x:is>
          <x:t xml:space="preserve">Live research + source validation + recommendation review</x:t>
        </x:is>
      </x:c>
      <x:c r="X48" s="5" t="inlineStr">
        <x:is>
          <x:t xml:space="preserve">brief / comparison / decision memo / risk analysis</x:t>
        </x:is>
      </x:c>
      <x:c r="Y48" s="5" t="inlineStr">
        <x:is>
          <x:t xml:space="preserve">Accurate synthesis with evidence, tradeoffs, and a concrete recommendation.</x:t>
        </x:is>
      </x:c>
      <x:c r="Z48" s="5" t="inlineStr">
        <x:is>
          <x:t xml:space="preserve">Stale facts, no citations, weak reasoning, or surface-level synthesis.</x:t>
        </x:is>
      </x:c>
      <x:c r="AA48" s="5" t="inlineStr">
        <x:is>
          <x:t xml:space="preserve">web integration / citation enforcement / analysis rubric</x:t>
        </x:is>
      </x:c>
      <x:c r="AB48" s="5" t="inlineStr">
        <x:is>
          <x:t xml:space="preserve"/>
        </x:is>
      </x:c>
      <x:c r="AC48" s="5" t="inlineStr">
        <x:is>
          <x:t xml:space="preserve">OpenAI usage paper: Seeking Information is in top 3 categories; work/advice/search are common across Deloitte and OpenAI.</x:t>
        </x:is>
      </x:c>
      <x:c r="AD48" s="5" t="inlineStr">
        <x:is>
          <x:t xml:space="preserve">OpenAI How People Use ChatGPT paper; Deloitte Connected Consumer 2025</x:t>
        </x:is>
      </x:c>
      <x:c r="AE48" s="11">
        <x:f>IF(O48="High",20,IF(O48="Medium",10,IF(O48="Low",5,0)))+IF(P48="High",20,IF(P48="Medium",10,IF(P48="Low",5,0)))+IF(Q48="High",20,IF(Q48="Medium",10,IF(Q48="Low",5,0)))+IF(R48="High",20,IF(R48="Medium",10,IF(R48="Low",5,0)))+IF(S48="High",20,IF(S48="Medium",10,IF(S48="Low",5,0)))</x:f>
        <x:v>55</x:v>
      </x:c>
      <x:c r="AF48" s="12">
        <x:f>ROUND(H48*0.30+J48*0.25+K48*0.20+(100-AE48)*0.10+(100-(V48*20))*0.15,0)</x:f>
        <x:v>73</x:v>
      </x:c>
      <x:c r="AG48" s="13" t="str">
        <x:f>IF(AF48&gt;=80,"Batch 1",IF(AF48&gt;=70,"Batch 2",IF(AF48&gt;=60,"Batch 3","Backlog")))</x:f>
        <x:v>Batch 2</x:v>
      </x:c>
      <x:c r="AH48" t="inlineStr">
        <x:is>
          <x:t xml:space="preserve"/>
        </x:is>
      </x:c>
    </x:row>
    <x:row r="49">
      <x:c r="A49" s="5" t="inlineStr">
        <x:is>
          <x:t xml:space="preserve">GPO-TRA-02</x:t>
        </x:is>
      </x:c>
      <x:c r="B49" s="5" t="n">
        <x:v>45</x:v>
      </x:c>
      <x:c r="C49" s="5" t="inlineStr">
        <x:is>
          <x:t xml:space="preserve">Travel &amp; Relocation Planner</x:t>
        </x:is>
      </x:c>
      <x:c r="D49" s="5" t="inlineStr">
        <x:is>
          <x:t xml:space="preserve">Move</x:t>
        </x:is>
      </x:c>
      <x:c r="E49" s="5" t="inlineStr">
        <x:is>
          <x:t xml:space="preserve">Core 150</x:t>
        </x:is>
      </x:c>
      <x:c r="F49" s="5" t="n">
        <x:v>2</x:v>
      </x:c>
      <x:c r="G49" s="5" t="inlineStr">
        <x:is>
          <x:t xml:space="preserve">Build the ideal itinerary for these days in this destination without tourist-trap fluff.</x:t>
        </x:is>
      </x:c>
      <x:c r="H49" s="6" t="n">
        <x:v>69</x:v>
      </x:c>
      <x:c r="I49" s="6" t="n">
        <x:v>69</x:v>
      </x:c>
      <x:c r="J49" s="7" t="n">
        <x:v>82</x:v>
      </x:c>
      <x:c r="K49" s="7" t="n">
        <x:v>75</x:v>
      </x:c>
      <x:c r="L49" s="8" t="inlineStr">
        <x:is>
          <x:t xml:space="preserve">UNTESTED</x:t>
        </x:is>
      </x:c>
      <x:c r="M49" s="9" t="inlineStr">
        <x:is>
          <x:t xml:space="preserve">UNTESTED</x:t>
        </x:is>
      </x:c>
      <x:c r="N49" s="5" t="inlineStr">
        <x:is>
          <x:t xml:space="preserve">travel research; itinerary planning; logistics reasoning; contingency planning</x:t>
        </x:is>
      </x:c>
      <x:c r="O49" s="5" t="inlineStr">
        <x:is>
          <x:t xml:space="preserve">High</x:t>
        </x:is>
      </x:c>
      <x:c r="P49" s="5" t="inlineStr">
        <x:is>
          <x:t xml:space="preserve">Medium</x:t>
        </x:is>
      </x:c>
      <x:c r="Q49" s="5" t="inlineStr">
        <x:is>
          <x:t xml:space="preserve">Medium</x:t>
        </x:is>
      </x:c>
      <x:c r="R49" s="5" t="inlineStr">
        <x:is>
          <x:t xml:space="preserve">Low</x:t>
        </x:is>
      </x:c>
      <x:c r="S49" s="5" t="inlineStr">
        <x:is>
          <x:t xml:space="preserve">Low</x:t>
        </x:is>
      </x:c>
      <x:c r="T49" s="5" t="inlineStr">
        <x:is>
          <x:t xml:space="preserve">ChatGPT with web; maps/calendar later</x:t>
        </x:is>
      </x:c>
      <x:c r="U49" s="5" t="inlineStr">
        <x:is>
          <x:t xml:space="preserve">Easy</x:t>
        </x:is>
      </x:c>
      <x:c r="V49" s="10" t="n">
        <x:v>1</x:v>
      </x:c>
      <x:c r="W49" s="5" t="inlineStr">
        <x:is>
          <x:t xml:space="preserve">Live trip planning + feasibility review</x:t>
        </x:is>
      </x:c>
      <x:c r="X49" s="5" t="inlineStr">
        <x:is>
          <x:t xml:space="preserve">itinerary / relocation plan / checklist</x:t>
        </x:is>
      </x:c>
      <x:c r="Y49" s="5" t="inlineStr">
        <x:is>
          <x:t xml:space="preserve">Plan is current, geographically sensible, and tuned to budget/constraints.</x:t>
        </x:is>
      </x:c>
      <x:c r="Z49" s="5" t="inlineStr">
        <x:is>
          <x:t xml:space="preserve">Bad logistics, stale info, wrong timing, or generic travel advice.</x:t>
        </x:is>
      </x:c>
      <x:c r="AA49" s="5" t="inlineStr">
        <x:is>
          <x:t xml:space="preserve">travel templates / web + mapping integration / logistics engine</x:t>
        </x:is>
      </x:c>
      <x:c r="AB49" s="5" t="inlineStr">
        <x:is>
          <x:t xml:space="preserve"/>
        </x:is>
      </x:c>
      <x:c r="AC4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49" s="5" t="inlineStr">
        <x:is>
          <x:t xml:space="preserve">Deloitte Connected Consumer 2025; Adobe travel planning 2025</x:t>
        </x:is>
      </x:c>
      <x:c r="AE49" s="11">
        <x:f>IF(O49="High",20,IF(O49="Medium",10,IF(O49="Low",5,0)))+IF(P49="High",20,IF(P49="Medium",10,IF(P49="Low",5,0)))+IF(Q49="High",20,IF(Q49="Medium",10,IF(Q49="Low",5,0)))+IF(R49="High",20,IF(R49="Medium",10,IF(R49="Low",5,0)))+IF(S49="High",20,IF(S49="Medium",10,IF(S49="Low",5,0)))</x:f>
        <x:v>50</x:v>
      </x:c>
      <x:c r="AF49" s="12">
        <x:f>ROUND(H49*0.30+J49*0.25+K49*0.20+(100-AE49)*0.10+(100-(V49*20))*0.15,0)</x:f>
        <x:v>73</x:v>
      </x:c>
      <x:c r="AG49" s="13" t="str">
        <x:f>IF(AF49&gt;=80,"Batch 1",IF(AF49&gt;=70,"Batch 2",IF(AF49&gt;=60,"Batch 3","Backlog")))</x:f>
        <x:v>Batch 2</x:v>
      </x:c>
      <x:c r="AH49" t="inlineStr">
        <x:is>
          <x:t xml:space="preserve"/>
        </x:is>
      </x:c>
    </x:row>
    <x:row r="50">
      <x:c r="A50" s="5" t="inlineStr">
        <x:is>
          <x:t xml:space="preserve">GPO-SHO-04</x:t>
        </x:is>
      </x:c>
      <x:c r="B50" s="5" t="n">
        <x:v>46</x:v>
      </x:c>
      <x:c r="C50" s="5" t="inlineStr">
        <x:is>
          <x:t xml:space="preserve">Shopping &amp; Buying Advisor</x:t>
        </x:is>
      </x:c>
      <x:c r="D50" s="5" t="inlineStr">
        <x:is>
          <x:t xml:space="preserve">Buy</x:t>
        </x:is>
      </x:c>
      <x:c r="E50" s="5" t="inlineStr">
        <x:is>
          <x:t xml:space="preserve">Core 150</x:t>
        </x:is>
      </x:c>
      <x:c r="F50" s="5" t="n">
        <x:v>4</x:v>
      </x:c>
      <x:c r="G50" s="5" t="inlineStr">
        <x:is>
          <x:t xml:space="preserve">Build a shortlist of products for my use case with tradeoffs and final pick.</x:t>
        </x:is>
      </x:c>
      <x:c r="H50" s="6" t="n">
        <x:v>68</x:v>
      </x:c>
      <x:c r="I50" s="6" t="n">
        <x:v>68</x:v>
      </x:c>
      <x:c r="J50" s="7" t="n">
        <x:v>83</x:v>
      </x:c>
      <x:c r="K50" s="7" t="n">
        <x:v>75</x:v>
      </x:c>
      <x:c r="L50" s="8" t="inlineStr">
        <x:is>
          <x:t xml:space="preserve">UNTESTED</x:t>
        </x:is>
      </x:c>
      <x:c r="M50" s="9" t="inlineStr">
        <x:is>
          <x:t xml:space="preserve">UNTESTED</x:t>
        </x:is>
      </x:c>
      <x:c r="N50" s="5" t="inlineStr">
        <x:is>
          <x:t xml:space="preserve">web/product research; comparison; price-value reasoning; shortlist generation</x:t>
        </x:is>
      </x:c>
      <x:c r="O50" s="5" t="inlineStr">
        <x:is>
          <x:t xml:space="preserve">High</x:t>
        </x:is>
      </x:c>
      <x:c r="P50" s="5" t="inlineStr">
        <x:is>
          <x:t xml:space="preserve">Medium</x:t>
        </x:is>
      </x:c>
      <x:c r="Q50" s="5" t="inlineStr">
        <x:is>
          <x:t xml:space="preserve">Medium</x:t>
        </x:is>
      </x:c>
      <x:c r="R50" s="5" t="inlineStr">
        <x:is>
          <x:t xml:space="preserve">Low</x:t>
        </x:is>
      </x:c>
      <x:c r="S50" s="5" t="inlineStr">
        <x:is>
          <x:t xml:space="preserve">Low</x:t>
        </x:is>
      </x:c>
      <x:c r="T50" s="5" t="inlineStr">
        <x:is>
          <x:t xml:space="preserve">ChatGPT with web</x:t>
        </x:is>
      </x:c>
      <x:c r="U50" s="5" t="inlineStr">
        <x:is>
          <x:t xml:space="preserve">Easy</x:t>
        </x:is>
      </x:c>
      <x:c r="V50" s="10" t="n">
        <x:v>1</x:v>
      </x:c>
      <x:c r="W50" s="5" t="inlineStr">
        <x:is>
          <x:t xml:space="preserve">Live shopping query + recommendation validation</x:t>
        </x:is>
      </x:c>
      <x:c r="X50" s="5" t="inlineStr">
        <x:is>
          <x:t xml:space="preserve">shortlist / recommendation / comparison / cart plan</x:t>
        </x:is>
      </x:c>
      <x:c r="Y50" s="5" t="inlineStr">
        <x:is>
          <x:t xml:space="preserve">Recommendation fits constraints and explains tradeoffs clearly.</x:t>
        </x:is>
      </x:c>
      <x:c r="Z50" s="5" t="inlineStr">
        <x:is>
          <x:t xml:space="preserve">Outdated products, poor fit, missed constraints, or shallow comparison.</x:t>
        </x:is>
      </x:c>
      <x:c r="AA50" s="5" t="inlineStr">
        <x:is>
          <x:t xml:space="preserve">web/product retrieval / comparison template / user preference memory</x:t>
        </x:is>
      </x:c>
      <x:c r="AB50" s="5" t="inlineStr">
        <x:is>
          <x:t xml:space="preserve"/>
        </x:is>
      </x:c>
      <x:c r="AC50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50" s="5" t="inlineStr">
        <x:is>
          <x:t xml:space="preserve">Deloitte Connected Consumer 2025; Salesforce Connected Shopper 2025; IAB 2025 shopping study</x:t>
        </x:is>
      </x:c>
      <x:c r="AE50" s="11">
        <x:f>IF(O50="High",20,IF(O50="Medium",10,IF(O50="Low",5,0)))+IF(P50="High",20,IF(P50="Medium",10,IF(P50="Low",5,0)))+IF(Q50="High",20,IF(Q50="Medium",10,IF(Q50="Low",5,0)))+IF(R50="High",20,IF(R50="Medium",10,IF(R50="Low",5,0)))+IF(S50="High",20,IF(S50="Medium",10,IF(S50="Low",5,0)))</x:f>
        <x:v>50</x:v>
      </x:c>
      <x:c r="AF50" s="12">
        <x:f>ROUND(H50*0.30+J50*0.25+K50*0.20+(100-AE50)*0.10+(100-(V50*20))*0.15,0)</x:f>
        <x:v>73</x:v>
      </x:c>
      <x:c r="AG50" s="13" t="str">
        <x:f>IF(AF50&gt;=80,"Batch 1",IF(AF50&gt;=70,"Batch 2",IF(AF50&gt;=60,"Batch 3","Backlog")))</x:f>
        <x:v>Batch 2</x:v>
      </x:c>
      <x:c r="AH50" t="inlineStr">
        <x:is>
          <x:t xml:space="preserve"/>
        </x:is>
      </x:c>
    </x:row>
    <x:row r="51">
      <x:c r="A51" s="5" t="inlineStr">
        <x:is>
          <x:t xml:space="preserve">GPO-WRI-11</x:t>
        </x:is>
      </x:c>
      <x:c r="B51" s="5" t="n">
        <x:v>47</x:v>
      </x:c>
      <x:c r="C51" s="5" t="inlineStr">
        <x:is>
          <x:t xml:space="preserve">Writing &amp; Documentation</x:t>
        </x:is>
      </x:c>
      <x:c r="D51" s="5" t="inlineStr">
        <x:is>
          <x:t xml:space="preserve">Create</x:t>
        </x:is>
      </x:c>
      <x:c r="E51" s="5" t="inlineStr">
        <x:is>
          <x:t xml:space="preserve">Expansion 150</x:t>
        </x:is>
      </x:c>
      <x:c r="F51" s="5" t="n">
        <x:v>11</x:v>
      </x:c>
      <x:c r="G51" s="5" t="inlineStr">
        <x:is>
          <x:t xml:space="preserve">Generate release notes/changelog/customer update for {release}.</x:t>
        </x:is>
      </x:c>
      <x:c r="H51" s="6" t="n">
        <x:v>66</x:v>
      </x:c>
      <x:c r="I51" s="6" t="n">
        <x:v>66</x:v>
      </x:c>
      <x:c r="J51" s="7" t="n">
        <x:v>86</x:v>
      </x:c>
      <x:c r="K51" s="7" t="n">
        <x:v>75</x:v>
      </x:c>
      <x:c r="L51" s="8" t="inlineStr">
        <x:is>
          <x:t xml:space="preserve">UNTESTED</x:t>
        </x:is>
      </x:c>
      <x:c r="M51" s="9" t="inlineStr">
        <x:is>
          <x:t xml:space="preserve">UNTESTED</x:t>
        </x:is>
      </x:c>
      <x:c r="N51" s="5" t="inlineStr">
        <x:is>
          <x:t xml:space="preserve">writing quality; summarization; style control; structured artifacts</x:t>
        </x:is>
      </x:c>
      <x:c r="O51" s="5" t="inlineStr">
        <x:is>
          <x:t xml:space="preserve">Low</x:t>
        </x:is>
      </x:c>
      <x:c r="P51" s="5" t="inlineStr">
        <x:is>
          <x:t xml:space="preserve">Medium</x:t>
        </x:is>
      </x:c>
      <x:c r="Q51" s="5" t="inlineStr">
        <x:is>
          <x:t xml:space="preserve">Low</x:t>
        </x:is>
      </x:c>
      <x:c r="R51" s="5" t="inlineStr">
        <x:is>
          <x:t xml:space="preserve">Low</x:t>
        </x:is>
      </x:c>
      <x:c r="S51" s="5" t="inlineStr">
        <x:is>
          <x:t xml:space="preserve">Low</x:t>
        </x:is>
      </x:c>
      <x:c r="T51" s="5" t="inlineStr">
        <x:is>
          <x:t xml:space="preserve">ChatGPT or Claude; human review optional</x:t>
        </x:is>
      </x:c>
      <x:c r="U51" s="5" t="inlineStr">
        <x:is>
          <x:t xml:space="preserve">Easy</x:t>
        </x:is>
      </x:c>
      <x:c r="V51" s="10" t="n">
        <x:v>1</x:v>
      </x:c>
      <x:c r="W51" s="5" t="inlineStr">
        <x:is>
          <x:t xml:space="preserve">Prompt execution + artifact quality review</x:t>
        </x:is>
      </x:c>
      <x:c r="X51" s="5" t="inlineStr">
        <x:is>
          <x:t xml:space="preserve">doc / memo / email / FAQ / summary</x:t>
        </x:is>
      </x:c>
      <x:c r="Y51" s="5" t="inlineStr">
        <x:is>
          <x:t xml:space="preserve">Output is clear, tailored, structurally sound, and immediately usable.</x:t>
        </x:is>
      </x:c>
      <x:c r="Z51" s="5" t="inlineStr">
        <x:is>
          <x:t xml:space="preserve">Generic tone, missing context, weak structure, or wrong audience level.</x:t>
        </x:is>
      </x:c>
      <x:c r="AA51" s="5" t="inlineStr">
        <x:is>
          <x:t xml:space="preserve">prompt pack / style guidance / output schema</x:t>
        </x:is>
      </x:c>
      <x:c r="AB51" s="5" t="inlineStr">
        <x:is>
          <x:t xml:space="preserve"/>
        </x:is>
      </x:c>
      <x:c r="AC51" s="5" t="inlineStr">
        <x:is>
          <x:t xml:space="preserve">OpenAI usage paper: Writing is in top 3 categories; Menlo consumer AI says 19% use AI to write emails and 18% get writing support.</x:t>
        </x:is>
      </x:c>
      <x:c r="AD51" s="5" t="inlineStr">
        <x:is>
          <x:t xml:space="preserve">OpenAI How People Use ChatGPT paper; Menlo State of Consumer AI 2025</x:t>
        </x:is>
      </x:c>
      <x:c r="AE51" s="11">
        <x:f>IF(O51="High",20,IF(O51="Medium",10,IF(O51="Low",5,0)))+IF(P51="High",20,IF(P51="Medium",10,IF(P51="Low",5,0)))+IF(Q51="High",20,IF(Q51="Medium",10,IF(Q51="Low",5,0)))+IF(R51="High",20,IF(R51="Medium",10,IF(R51="Low",5,0)))+IF(S51="High",20,IF(S51="Medium",10,IF(S51="Low",5,0)))</x:f>
        <x:v>30</x:v>
      </x:c>
      <x:c r="AF51" s="12">
        <x:f>ROUND(H51*0.30+J51*0.25+K51*0.20+(100-AE51)*0.10+(100-(V51*20))*0.15,0)</x:f>
        <x:v>75</x:v>
      </x:c>
      <x:c r="AG51" s="13" t="str">
        <x:f>IF(AF51&gt;=80,"Batch 1",IF(AF51&gt;=70,"Batch 2",IF(AF51&gt;=60,"Batch 3","Backlog")))</x:f>
        <x:v>Batch 2</x:v>
      </x:c>
      <x:c r="AH51" t="inlineStr">
        <x:is>
          <x:t xml:space="preserve"/>
        </x:is>
      </x:c>
    </x:row>
    <x:row r="52">
      <x:c r="A52" s="5" t="inlineStr">
        <x:is>
          <x:t xml:space="preserve">GPO-COD-11</x:t>
        </x:is>
      </x:c>
      <x:c r="B52" s="5" t="n">
        <x:v>48</x:v>
      </x:c>
      <x:c r="C52" s="5" t="inlineStr">
        <x:is>
          <x:t xml:space="preserve">Code &amp; Product Engineering</x:t>
        </x:is>
      </x:c>
      <x:c r="D52" s="5" t="inlineStr">
        <x:is>
          <x:t xml:space="preserve">Build</x:t>
        </x:is>
      </x:c>
      <x:c r="E52" s="5" t="inlineStr">
        <x:is>
          <x:t xml:space="preserve">Expansion 150</x:t>
        </x:is>
      </x:c>
      <x:c r="F52" s="5" t="n">
        <x:v>11</x:v>
      </x:c>
      <x:c r="G52" s="5" t="inlineStr">
        <x:is>
          <x:t xml:space="preserve">Turn this prototype into a polished responsive web app with accessible UI and clean UX.</x:t>
        </x:is>
      </x:c>
      <x:c r="H52" s="6" t="n">
        <x:v>67</x:v>
      </x:c>
      <x:c r="I52" s="6" t="n">
        <x:v>67</x:v>
      </x:c>
      <x:c r="J52" s="7" t="n">
        <x:v>84</x:v>
      </x:c>
      <x:c r="K52" s="7" t="n">
        <x:v>75</x:v>
      </x:c>
      <x:c r="L52" s="8" t="inlineStr">
        <x:is>
          <x:t xml:space="preserve">UNTESTED</x:t>
        </x:is>
      </x:c>
      <x:c r="M52" s="9" t="inlineStr">
        <x:is>
          <x:t xml:space="preserve">UNTESTED</x:t>
        </x:is>
      </x:c>
      <x:c r="N52" s="5" t="inlineStr">
        <x:is>
          <x:t xml:space="preserve">routing; code reasoning; repo context; file edit; test execution; structured output</x:t>
        </x:is>
      </x:c>
      <x:c r="O52" s="5" t="inlineStr">
        <x:is>
          <x:t xml:space="preserve">No</x:t>
        </x:is>
      </x:c>
      <x:c r="P52" s="5" t="inlineStr">
        <x:is>
          <x:t xml:space="preserve">Medium</x:t>
        </x:is>
      </x:c>
      <x:c r="Q52" s="5" t="inlineStr">
        <x:is>
          <x:t xml:space="preserve">High</x:t>
        </x:is>
      </x:c>
      <x:c r="R52" s="5" t="inlineStr">
        <x:is>
          <x:t xml:space="preserve">Medium</x:t>
        </x:is>
      </x:c>
      <x:c r="S52" s="5" t="inlineStr">
        <x:is>
          <x:t xml:space="preserve">Low</x:t>
        </x:is>
      </x:c>
      <x:c r="T52" s="5" t="inlineStr">
        <x:is>
          <x:t xml:space="preserve">Claude Code primary; ChatGPT critique; web optional</x:t>
        </x:is>
      </x:c>
      <x:c r="U52" s="5" t="inlineStr">
        <x:is>
          <x:t xml:space="preserve">Easy</x:t>
        </x:is>
      </x:c>
      <x:c r="V52" s="10" t="n">
        <x:v>1</x:v>
      </x:c>
      <x:c r="W52" s="5" t="inlineStr">
        <x:is>
          <x:t xml:space="preserve">Live execution + code diff + output review</x:t>
        </x:is>
      </x:c>
      <x:c r="X52" s="5" t="inlineStr">
        <x:is>
          <x:t xml:space="preserve">code patch / spec / architecture / debug report</x:t>
        </x:is>
      </x:c>
      <x:c r="Y52" s="5" t="inlineStr">
        <x:is>
          <x:t xml:space="preserve">Produces correct technical plan or working code without breaking current behavior.</x:t>
        </x:is>
      </x:c>
      <x:c r="Z52" s="5" t="inlineStr">
        <x:is>
          <x:t xml:space="preserve">Hallucinated codebase facts, unsafe refactor, broken tests, or vague technical output.</x:t>
        </x:is>
      </x:c>
      <x:c r="AA52" s="5" t="inlineStr">
        <x:is>
          <x:t xml:space="preserve">routing / tool wiring / repo context / codegen guardrails</x:t>
        </x:is>
      </x:c>
      <x:c r="AB52" s="5" t="inlineStr">
        <x:is>
          <x:t xml:space="preserve"/>
        </x:is>
      </x:c>
      <x:c r="AC52" s="5" t="inlineStr">
        <x:is>
          <x:t xml:space="preserve">OpenAI/common use: writing+coding; Menlo enterprise coding is 55% of departmental AI spend; Deloitte top app: work assistance.</x:t>
        </x:is>
      </x:c>
      <x:c r="AD52" s="5" t="inlineStr">
        <x:is>
          <x:t xml:space="preserve">OpenAI GPT-5 / How People Use ChatGPT; Menlo State of GenAI in Enterprise 2025; Deloitte Connected Consumer 2025</x:t>
        </x:is>
      </x:c>
      <x:c r="AE52" s="11">
        <x:f>IF(O52="High",20,IF(O52="Medium",10,IF(O52="Low",5,0)))+IF(P52="High",20,IF(P52="Medium",10,IF(P52="Low",5,0)))+IF(Q52="High",20,IF(Q52="Medium",10,IF(Q52="Low",5,0)))+IF(R52="High",20,IF(R52="Medium",10,IF(R52="Low",5,0)))+IF(S52="High",20,IF(S52="Medium",10,IF(S52="Low",5,0)))</x:f>
        <x:v>45</x:v>
      </x:c>
      <x:c r="AF52" s="12">
        <x:f>ROUND(H52*0.30+J52*0.25+K52*0.20+(100-AE52)*0.10+(100-(V52*20))*0.15,0)</x:f>
        <x:v>74</x:v>
      </x:c>
      <x:c r="AG52" s="13" t="str">
        <x:f>IF(AF52&gt;=80,"Batch 1",IF(AF52&gt;=70,"Batch 2",IF(AF52&gt;=60,"Batch 3","Backlog")))</x:f>
        <x:v>Batch 2</x:v>
      </x:c>
      <x:c r="AH52" t="inlineStr">
        <x:is>
          <x:t xml:space="preserve"/>
        </x:is>
      </x:c>
    </x:row>
    <x:row r="53">
      <x:c r="A53" s="5" t="inlineStr">
        <x:is>
          <x:t xml:space="preserve">GPO-LEA-08</x:t>
        </x:is>
      </x:c>
      <x:c r="B53" s="5" t="n">
        <x:v>49</x:v>
      </x:c>
      <x:c r="C53" s="5" t="inlineStr">
        <x:is>
          <x:t xml:space="preserve">Learning &amp; Tutoring</x:t>
        </x:is>
      </x:c>
      <x:c r="D53" s="5" t="inlineStr">
        <x:is>
          <x:t xml:space="preserve">Grow</x:t>
        </x:is>
      </x:c>
      <x:c r="E53" s="5" t="inlineStr">
        <x:is>
          <x:t xml:space="preserve">Core 150</x:t>
        </x:is>
      </x:c>
      <x:c r="F53" s="5" t="n">
        <x:v>8</x:v>
      </x:c>
      <x:c r="G53" s="5" t="inlineStr">
        <x:is>
          <x:t xml:space="preserve">Tutor me live through solving this problem type step by step.</x:t>
        </x:is>
      </x:c>
      <x:c r="H53" s="6" t="n">
        <x:v>67</x:v>
      </x:c>
      <x:c r="I53" s="6" t="n">
        <x:v>67</x:v>
      </x:c>
      <x:c r="J53" s="7" t="n">
        <x:v>84</x:v>
      </x:c>
      <x:c r="K53" s="7" t="n">
        <x:v>75</x:v>
      </x:c>
      <x:c r="L53" s="8" t="inlineStr">
        <x:is>
          <x:t xml:space="preserve">UNTESTED</x:t>
        </x:is>
      </x:c>
      <x:c r="M53" s="9" t="inlineStr">
        <x:is>
          <x:t xml:space="preserve">UNTESTED</x:t>
        </x:is>
      </x:c>
      <x:c r="N53" s="5" t="inlineStr">
        <x:is>
          <x:t xml:space="preserve">adaptive tutoring; curriculum planning; quiz generation; context retention</x:t>
        </x:is>
      </x:c>
      <x:c r="O53" s="5" t="inlineStr">
        <x:is>
          <x:t xml:space="preserve">Low</x:t>
        </x:is>
      </x:c>
      <x:c r="P53" s="5" t="inlineStr">
        <x:is>
          <x:t xml:space="preserve">High</x:t>
        </x:is>
      </x:c>
      <x:c r="Q53" s="5" t="inlineStr">
        <x:is>
          <x:t xml:space="preserve">Low</x:t>
        </x:is>
      </x:c>
      <x:c r="R53" s="5" t="inlineStr">
        <x:is>
          <x:t xml:space="preserve">Low</x:t>
        </x:is>
      </x:c>
      <x:c r="S53" s="5" t="inlineStr">
        <x:is>
          <x:t xml:space="preserve">Low</x:t>
        </x:is>
      </x:c>
      <x:c r="T53" s="5" t="inlineStr">
        <x:is>
          <x:t xml:space="preserve">ChatGPT primary</x:t>
        </x:is>
      </x:c>
      <x:c r="U53" s="5" t="inlineStr">
        <x:is>
          <x:t xml:space="preserve">Easy</x:t>
        </x:is>
      </x:c>
      <x:c r="V53" s="10" t="n">
        <x:v>1</x:v>
      </x:c>
      <x:c r="W53" s="5" t="inlineStr">
        <x:is>
          <x:t xml:space="preserve">Interactive tutoring session + quality review</x:t>
        </x:is>
      </x:c>
      <x:c r="X53" s="5" t="inlineStr">
        <x:is>
          <x:t xml:space="preserve">lesson / plan / quiz / explanation</x:t>
        </x:is>
      </x:c>
      <x:c r="Y53" s="5" t="inlineStr">
        <x:is>
          <x:t xml:space="preserve">Teaching is accurate, adaptive, and improves understanding rather than over-answering.</x:t>
        </x:is>
      </x:c>
      <x:c r="Z53" s="5" t="inlineStr">
        <x:is>
          <x:t xml:space="preserve">Wrong explanations, over-helping, no adaptation, or generic curriculum.</x:t>
        </x:is>
      </x:c>
      <x:c r="AA53" s="5" t="inlineStr">
        <x:is>
          <x:t xml:space="preserve">tutor mode / memory / scaffolding logic</x:t>
        </x:is>
      </x:c>
      <x:c r="AB53" s="5" t="inlineStr">
        <x:is>
          <x:t xml:space="preserve"/>
        </x:is>
      </x:c>
      <x:c r="AC53" s="5" t="inlineStr">
        <x:is>
          <x:t xml:space="preserve">OpenAI practical guidance includes tutoring; HEPI 2025 says 88% of students use GenAI for assessments, often to explain concepts and summarize articles.</x:t>
        </x:is>
      </x:c>
      <x:c r="AD53" s="5" t="inlineStr">
        <x:is>
          <x:t xml:space="preserve">OpenAI How People Use ChatGPT paper; HEPI Student Generative AI Survey 2025; Brookings 2026 tutoring article</x:t>
        </x:is>
      </x:c>
      <x:c r="AE53" s="11">
        <x:f>IF(O53="High",20,IF(O53="Medium",10,IF(O53="Low",5,0)))+IF(P53="High",20,IF(P53="Medium",10,IF(P53="Low",5,0)))+IF(Q53="High",20,IF(Q53="Medium",10,IF(Q53="Low",5,0)))+IF(R53="High",20,IF(R53="Medium",10,IF(R53="Low",5,0)))+IF(S53="High",20,IF(S53="Medium",10,IF(S53="Low",5,0)))</x:f>
        <x:v>40</x:v>
      </x:c>
      <x:c r="AF53" s="12">
        <x:f>ROUND(H53*0.30+J53*0.25+K53*0.20+(100-AE53)*0.10+(100-(V53*20))*0.15,0)</x:f>
        <x:v>74</x:v>
      </x:c>
      <x:c r="AG53" s="13" t="str">
        <x:f>IF(AF53&gt;=80,"Batch 1",IF(AF53&gt;=70,"Batch 2",IF(AF53&gt;=60,"Batch 3","Backlog")))</x:f>
        <x:v>Batch 2</x:v>
      </x:c>
      <x:c r="AH53" t="inlineStr">
        <x:is>
          <x:t xml:space="preserve"/>
        </x:is>
      </x:c>
    </x:row>
    <x:row r="54">
      <x:c r="A54" s="5" t="inlineStr">
        <x:is>
          <x:t xml:space="preserve">GPO-SCH-06</x:t>
        </x:is>
      </x:c>
      <x:c r="B54" s="5" t="n">
        <x:v>50</x:v>
      </x:c>
      <x:c r="C54" s="5" t="inlineStr">
        <x:is>
          <x:t xml:space="preserve">Scheduling &amp; Life Operations</x:t>
        </x:is>
      </x:c>
      <x:c r="D54" s="5" t="inlineStr">
        <x:is>
          <x:t xml:space="preserve">Operate</x:t>
        </x:is>
      </x:c>
      <x:c r="E54" s="5" t="inlineStr">
        <x:is>
          <x:t xml:space="preserve">Core 150</x:t>
        </x:is>
      </x:c>
      <x:c r="F54" s="5" t="n">
        <x:v>6</x:v>
      </x:c>
      <x:c r="G54" s="5" t="inlineStr">
        <x:is>
          <x:t xml:space="preserve">Organize my projects into missions, milestones, and next actions.</x:t>
        </x:is>
      </x:c>
      <x:c r="H54" s="6" t="n">
        <x:v>68</x:v>
      </x:c>
      <x:c r="I54" s="6" t="n">
        <x:v>68</x:v>
      </x:c>
      <x:c r="J54" s="7" t="n">
        <x:v>82</x:v>
      </x:c>
      <x:c r="K54" s="7" t="n">
        <x:v>74</x:v>
      </x:c>
      <x:c r="L54" s="8" t="inlineStr">
        <x:is>
          <x:t xml:space="preserve">UNTESTED</x:t>
        </x:is>
      </x:c>
      <x:c r="M54" s="9" t="inlineStr">
        <x:is>
          <x:t xml:space="preserve">UNTESTED</x:t>
        </x:is>
      </x:c>
      <x:c r="N54" s="5" t="inlineStr">
        <x:is>
          <x:t xml:space="preserve">task planning; prioritization; calendar reasoning; personal constraints handling</x:t>
        </x:is>
      </x:c>
      <x:c r="O54" s="5" t="inlineStr">
        <x:is>
          <x:t xml:space="preserve">Low</x:t>
        </x:is>
      </x:c>
      <x:c r="P54" s="5" t="inlineStr">
        <x:is>
          <x:t xml:space="preserve">High</x:t>
        </x:is>
      </x:c>
      <x:c r="Q54" s="5" t="inlineStr">
        <x:is>
          <x:t xml:space="preserve">Medium</x:t>
        </x:is>
      </x:c>
      <x:c r="R54" s="5" t="inlineStr">
        <x:is>
          <x:t xml:space="preserve">Low</x:t>
        </x:is>
      </x:c>
      <x:c r="S54" s="5" t="inlineStr">
        <x:is>
          <x:t xml:space="preserve">Low</x:t>
        </x:is>
      </x:c>
      <x:c r="T54" s="5" t="inlineStr">
        <x:is>
          <x:t xml:space="preserve">ChatGPT primary; calendar integrations later</x:t>
        </x:is>
      </x:c>
      <x:c r="U54" s="5" t="inlineStr">
        <x:is>
          <x:t xml:space="preserve">Easy</x:t>
        </x:is>
      </x:c>
      <x:c r="V54" s="10" t="n">
        <x:v>1</x:v>
      </x:c>
      <x:c r="W54" s="5" t="inlineStr">
        <x:is>
          <x:t xml:space="preserve">Scenario-based planning + operator utility review</x:t>
        </x:is>
      </x:c>
      <x:c r="X54" s="5" t="inlineStr">
        <x:is>
          <x:t xml:space="preserve">schedule / checklist / operating plan</x:t>
        </x:is>
      </x:c>
      <x:c r="Y54" s="5" t="inlineStr">
        <x:is>
          <x:t xml:space="preserve">Plan is realistic, prioritized, and executable under stated constraints.</x:t>
        </x:is>
      </x:c>
      <x:c r="Z54" s="5" t="inlineStr">
        <x:is>
          <x:t xml:space="preserve">Overpacked schedule, ignored constraints, or vague next steps.</x:t>
        </x:is>
      </x:c>
      <x:c r="AA54" s="5" t="inlineStr">
        <x:is>
          <x:t xml:space="preserve">planner engine / memory / calendar-tool integration</x:t>
        </x:is>
      </x:c>
      <x:c r="AB54" s="5" t="inlineStr">
        <x:is>
          <x:t xml:space="preserve"/>
        </x:is>
      </x:c>
      <x:c r="AC54" s="5" t="inlineStr">
        <x:is>
          <x:t xml:space="preserve">Menlo consumer AI: 18% use AI to manage to-do lists and 15% to organize notes; Zao-Sanders ranked 'Organise my life' #2.</x:t>
        </x:is>
      </x:c>
      <x:c r="AD54" s="5" t="inlineStr">
        <x:is>
          <x:t xml:space="preserve">Menlo State of Consumer AI 2025; Zao-Sanders Top-100 GenAI Use Cases 2025</x:t>
        </x:is>
      </x:c>
      <x:c r="AE54" s="11">
        <x:f>IF(O54="High",20,IF(O54="Medium",10,IF(O54="Low",5,0)))+IF(P54="High",20,IF(P54="Medium",10,IF(P54="Low",5,0)))+IF(Q54="High",20,IF(Q54="Medium",10,IF(Q54="Low",5,0)))+IF(R54="High",20,IF(R54="Medium",10,IF(R54="Low",5,0)))+IF(S54="High",20,IF(S54="Medium",10,IF(S54="Low",5,0)))</x:f>
        <x:v>45</x:v>
      </x:c>
      <x:c r="AF54" s="12">
        <x:f>ROUND(H54*0.30+J54*0.25+K54*0.20+(100-AE54)*0.10+(100-(V54*20))*0.15,0)</x:f>
        <x:v>73</x:v>
      </x:c>
      <x:c r="AG54" s="13" t="str">
        <x:f>IF(AF54&gt;=80,"Batch 1",IF(AF54&gt;=70,"Batch 2",IF(AF54&gt;=60,"Batch 3","Backlog")))</x:f>
        <x:v>Batch 2</x:v>
      </x:c>
      <x:c r="AH54" t="inlineStr">
        <x:is>
          <x:t xml:space="preserve"/>
        </x:is>
      </x:c>
    </x:row>
    <x:row r="55">
      <x:c r="A55" s="5" t="inlineStr">
        <x:is>
          <x:t xml:space="preserve">GPO-LEA-09</x:t>
        </x:is>
      </x:c>
      <x:c r="B55" s="5" t="n">
        <x:v>51</x:v>
      </x:c>
      <x:c r="C55" s="5" t="inlineStr">
        <x:is>
          <x:t xml:space="preserve">Learning &amp; Tutoring</x:t>
        </x:is>
      </x:c>
      <x:c r="D55" s="5" t="inlineStr">
        <x:is>
          <x:t xml:space="preserve">Grow</x:t>
        </x:is>
      </x:c>
      <x:c r="E55" s="5" t="inlineStr">
        <x:is>
          <x:t xml:space="preserve">Core 150</x:t>
        </x:is>
      </x:c>
      <x:c r="F55" s="5" t="n">
        <x:v>9</x:v>
      </x:c>
      <x:c r="G55" s="5" t="inlineStr">
        <x:is>
          <x:t xml:space="preserve">Summarize this lecture/class material into what I really need to remember.</x:t>
        </x:is>
      </x:c>
      <x:c r="H55" s="6" t="n">
        <x:v>66</x:v>
      </x:c>
      <x:c r="I55" s="6" t="n">
        <x:v>66</x:v>
      </x:c>
      <x:c r="J55" s="7" t="n">
        <x:v>84</x:v>
      </x:c>
      <x:c r="K55" s="7" t="n">
        <x:v>74</x:v>
      </x:c>
      <x:c r="L55" s="8" t="inlineStr">
        <x:is>
          <x:t xml:space="preserve">UNTESTED</x:t>
        </x:is>
      </x:c>
      <x:c r="M55" s="9" t="inlineStr">
        <x:is>
          <x:t xml:space="preserve">UNTESTED</x:t>
        </x:is>
      </x:c>
      <x:c r="N55" s="5" t="inlineStr">
        <x:is>
          <x:t xml:space="preserve">adaptive tutoring; curriculum planning; quiz generation; context retention</x:t>
        </x:is>
      </x:c>
      <x:c r="O55" s="5" t="inlineStr">
        <x:is>
          <x:t xml:space="preserve">Low</x:t>
        </x:is>
      </x:c>
      <x:c r="P55" s="5" t="inlineStr">
        <x:is>
          <x:t xml:space="preserve">High</x:t>
        </x:is>
      </x:c>
      <x:c r="Q55" s="5" t="inlineStr">
        <x:is>
          <x:t xml:space="preserve">Low</x:t>
        </x:is>
      </x:c>
      <x:c r="R55" s="5" t="inlineStr">
        <x:is>
          <x:t xml:space="preserve">Low</x:t>
        </x:is>
      </x:c>
      <x:c r="S55" s="5" t="inlineStr">
        <x:is>
          <x:t xml:space="preserve">Low</x:t>
        </x:is>
      </x:c>
      <x:c r="T55" s="5" t="inlineStr">
        <x:is>
          <x:t xml:space="preserve">ChatGPT primary</x:t>
        </x:is>
      </x:c>
      <x:c r="U55" s="5" t="inlineStr">
        <x:is>
          <x:t xml:space="preserve">Easy</x:t>
        </x:is>
      </x:c>
      <x:c r="V55" s="10" t="n">
        <x:v>1</x:v>
      </x:c>
      <x:c r="W55" s="5" t="inlineStr">
        <x:is>
          <x:t xml:space="preserve">Interactive tutoring session + quality review</x:t>
        </x:is>
      </x:c>
      <x:c r="X55" s="5" t="inlineStr">
        <x:is>
          <x:t xml:space="preserve">lesson / plan / quiz / explanation</x:t>
        </x:is>
      </x:c>
      <x:c r="Y55" s="5" t="inlineStr">
        <x:is>
          <x:t xml:space="preserve">Teaching is accurate, adaptive, and improves understanding rather than over-answering.</x:t>
        </x:is>
      </x:c>
      <x:c r="Z55" s="5" t="inlineStr">
        <x:is>
          <x:t xml:space="preserve">Wrong explanations, over-helping, no adaptation, or generic curriculum.</x:t>
        </x:is>
      </x:c>
      <x:c r="AA55" s="5" t="inlineStr">
        <x:is>
          <x:t xml:space="preserve">tutor mode / memory / scaffolding logic</x:t>
        </x:is>
      </x:c>
      <x:c r="AB55" s="5" t="inlineStr">
        <x:is>
          <x:t xml:space="preserve"/>
        </x:is>
      </x:c>
      <x:c r="AC55" s="5" t="inlineStr">
        <x:is>
          <x:t xml:space="preserve">OpenAI practical guidance includes tutoring; HEPI 2025 says 88% of students use GenAI for assessments, often to explain concepts and summarize articles.</x:t>
        </x:is>
      </x:c>
      <x:c r="AD55" s="5" t="inlineStr">
        <x:is>
          <x:t xml:space="preserve">OpenAI How People Use ChatGPT paper; HEPI Student Generative AI Survey 2025; Brookings 2026 tutoring article</x:t>
        </x:is>
      </x:c>
      <x:c r="AE55" s="11">
        <x:f>IF(O55="High",20,IF(O55="Medium",10,IF(O55="Low",5,0)))+IF(P55="High",20,IF(P55="Medium",10,IF(P55="Low",5,0)))+IF(Q55="High",20,IF(Q55="Medium",10,IF(Q55="Low",5,0)))+IF(R55="High",20,IF(R55="Medium",10,IF(R55="Low",5,0)))+IF(S55="High",20,IF(S55="Medium",10,IF(S55="Low",5,0)))</x:f>
        <x:v>40</x:v>
      </x:c>
      <x:c r="AF55" s="12">
        <x:f>ROUND(H55*0.30+J55*0.25+K55*0.20+(100-AE55)*0.10+(100-(V55*20))*0.15,0)</x:f>
        <x:v>74</x:v>
      </x:c>
      <x:c r="AG55" s="13" t="str">
        <x:f>IF(AF55&gt;=80,"Batch 1",IF(AF55&gt;=70,"Batch 2",IF(AF55&gt;=60,"Batch 3","Backlog")))</x:f>
        <x:v>Batch 2</x:v>
      </x:c>
      <x:c r="AH55" t="inlineStr">
        <x:is>
          <x:t xml:space="preserve"/>
        </x:is>
      </x:c>
    </x:row>
    <x:row r="56">
      <x:c r="A56" s="5" t="inlineStr">
        <x:is>
          <x:t xml:space="preserve">GPO-RES-09</x:t>
        </x:is>
      </x:c>
      <x:c r="B56" s="5" t="n">
        <x:v>52</x:v>
      </x:c>
      <x:c r="C56" s="5" t="inlineStr">
        <x:is>
          <x:t xml:space="preserve">Research &amp; Analysis</x:t>
        </x:is>
      </x:c>
      <x:c r="D56" s="5" t="inlineStr">
        <x:is>
          <x:t xml:space="preserve">Think</x:t>
        </x:is>
      </x:c>
      <x:c r="E56" s="5" t="inlineStr">
        <x:is>
          <x:t xml:space="preserve">Core 150</x:t>
        </x:is>
      </x:c>
      <x:c r="F56" s="5" t="n">
        <x:v>9</x:v>
      </x:c>
      <x:c r="G56" s="5" t="inlineStr">
        <x:is>
          <x:t xml:space="preserve">Pressure-test my startup idea using market size, competition, distribution, and moat.</x:t>
        </x:is>
      </x:c>
      <x:c r="H56" s="6" t="n">
        <x:v>67</x:v>
      </x:c>
      <x:c r="I56" s="6" t="n">
        <x:v>67</x:v>
      </x:c>
      <x:c r="J56" s="7" t="n">
        <x:v>82</x:v>
      </x:c>
      <x:c r="K56" s="7" t="n">
        <x:v>74</x:v>
      </x:c>
      <x:c r="L56" s="8" t="inlineStr">
        <x:is>
          <x:t xml:space="preserve">UNTESTED</x:t>
        </x:is>
      </x:c>
      <x:c r="M56" s="9" t="inlineStr">
        <x:is>
          <x:t xml:space="preserve">UNTESTED</x:t>
        </x:is>
      </x:c>
      <x:c r="N56" s="5" t="inlineStr">
        <x:is>
          <x:t xml:space="preserve">web research; synthesis; citation discipline; decision framing</x:t>
        </x:is>
      </x:c>
      <x:c r="O56" s="5" t="inlineStr">
        <x:is>
          <x:t xml:space="preserve">High</x:t>
        </x:is>
      </x:c>
      <x:c r="P56" s="5" t="inlineStr">
        <x:is>
          <x:t xml:space="preserve">Medium</x:t>
        </x:is>
      </x:c>
      <x:c r="Q56" s="5" t="inlineStr">
        <x:is>
          <x:t xml:space="preserve">Medium</x:t>
        </x:is>
      </x:c>
      <x:c r="R56" s="5" t="inlineStr">
        <x:is>
          <x:t xml:space="preserve">Medium</x:t>
        </x:is>
      </x:c>
      <x:c r="S56" s="5" t="inlineStr">
        <x:is>
          <x:t xml:space="preserve">Low</x:t>
        </x:is>
      </x:c>
      <x:c r="T56" s="5" t="inlineStr">
        <x:is>
          <x:t xml:space="preserve">ChatGPT with web; Claude for synthesis</x:t>
        </x:is>
      </x:c>
      <x:c r="U56" s="5" t="inlineStr">
        <x:is>
          <x:t xml:space="preserve">Easy</x:t>
        </x:is>
      </x:c>
      <x:c r="V56" s="10" t="n">
        <x:v>1</x:v>
      </x:c>
      <x:c r="W56" s="5" t="inlineStr">
        <x:is>
          <x:t xml:space="preserve">Live research + source validation + recommendation review</x:t>
        </x:is>
      </x:c>
      <x:c r="X56" s="5" t="inlineStr">
        <x:is>
          <x:t xml:space="preserve">brief / comparison / decision memo / risk analysis</x:t>
        </x:is>
      </x:c>
      <x:c r="Y56" s="5" t="inlineStr">
        <x:is>
          <x:t xml:space="preserve">Accurate synthesis with evidence, tradeoffs, and a concrete recommendation.</x:t>
        </x:is>
      </x:c>
      <x:c r="Z56" s="5" t="inlineStr">
        <x:is>
          <x:t xml:space="preserve">Stale facts, no citations, weak reasoning, or surface-level synthesis.</x:t>
        </x:is>
      </x:c>
      <x:c r="AA56" s="5" t="inlineStr">
        <x:is>
          <x:t xml:space="preserve">web integration / citation enforcement / analysis rubric</x:t>
        </x:is>
      </x:c>
      <x:c r="AB56" s="5" t="inlineStr">
        <x:is>
          <x:t xml:space="preserve"/>
        </x:is>
      </x:c>
      <x:c r="AC56" s="5" t="inlineStr">
        <x:is>
          <x:t xml:space="preserve">OpenAI usage paper: Seeking Information is in top 3 categories; work/advice/search are common across Deloitte and OpenAI.</x:t>
        </x:is>
      </x:c>
      <x:c r="AD56" s="5" t="inlineStr">
        <x:is>
          <x:t xml:space="preserve">OpenAI How People Use ChatGPT paper; Deloitte Connected Consumer 2025</x:t>
        </x:is>
      </x:c>
      <x:c r="AE56" s="11">
        <x:f>IF(O56="High",20,IF(O56="Medium",10,IF(O56="Low",5,0)))+IF(P56="High",20,IF(P56="Medium",10,IF(P56="Low",5,0)))+IF(Q56="High",20,IF(Q56="Medium",10,IF(Q56="Low",5,0)))+IF(R56="High",20,IF(R56="Medium",10,IF(R56="Low",5,0)))+IF(S56="High",20,IF(S56="Medium",10,IF(S56="Low",5,0)))</x:f>
        <x:v>55</x:v>
      </x:c>
      <x:c r="AF56" s="12">
        <x:f>ROUND(H56*0.30+J56*0.25+K56*0.20+(100-AE56)*0.10+(100-(V56*20))*0.15,0)</x:f>
        <x:v>72</x:v>
      </x:c>
      <x:c r="AG56" s="13" t="str">
        <x:f>IF(AF56&gt;=80,"Batch 1",IF(AF56&gt;=70,"Batch 2",IF(AF56&gt;=60,"Batch 3","Backlog")))</x:f>
        <x:v>Batch 2</x:v>
      </x:c>
      <x:c r="AH56" t="inlineStr">
        <x:is>
          <x:t xml:space="preserve"/>
        </x:is>
      </x:c>
    </x:row>
    <x:row r="57">
      <x:c r="A57" s="5" t="inlineStr">
        <x:is>
          <x:t xml:space="preserve">GPO-COD-12</x:t>
        </x:is>
      </x:c>
      <x:c r="B57" s="5" t="n">
        <x:v>53</x:v>
      </x:c>
      <x:c r="C57" s="5" t="inlineStr">
        <x:is>
          <x:t xml:space="preserve">Code &amp; Product Engineering</x:t>
        </x:is>
      </x:c>
      <x:c r="D57" s="5" t="inlineStr">
        <x:is>
          <x:t xml:space="preserve">Build</x:t>
        </x:is>
      </x:c>
      <x:c r="E57" s="5" t="inlineStr">
        <x:is>
          <x:t xml:space="preserve">Expansion 150</x:t>
        </x:is>
      </x:c>
      <x:c r="F57" s="5" t="n">
        <x:v>12</x:v>
      </x:c>
      <x:c r="G57" s="5" t="inlineStr">
        <x:is>
          <x:t xml:space="preserve">Create end-to-end test cases and failure injection scenarios for {workflow}.</x:t>
        </x:is>
      </x:c>
      <x:c r="H57" s="6" t="n">
        <x:v>66</x:v>
      </x:c>
      <x:c r="I57" s="6" t="n">
        <x:v>66</x:v>
      </x:c>
      <x:c r="J57" s="7" t="n">
        <x:v>83</x:v>
      </x:c>
      <x:c r="K57" s="7" t="n">
        <x:v>74</x:v>
      </x:c>
      <x:c r="L57" s="8" t="inlineStr">
        <x:is>
          <x:t xml:space="preserve">UNTESTED</x:t>
        </x:is>
      </x:c>
      <x:c r="M57" s="9" t="inlineStr">
        <x:is>
          <x:t xml:space="preserve">UNTESTED</x:t>
        </x:is>
      </x:c>
      <x:c r="N57" s="5" t="inlineStr">
        <x:is>
          <x:t xml:space="preserve">routing; code reasoning; repo context; file edit; test execution; structured output</x:t>
        </x:is>
      </x:c>
      <x:c r="O57" s="5" t="inlineStr">
        <x:is>
          <x:t xml:space="preserve">No</x:t>
        </x:is>
      </x:c>
      <x:c r="P57" s="5" t="inlineStr">
        <x:is>
          <x:t xml:space="preserve">Medium</x:t>
        </x:is>
      </x:c>
      <x:c r="Q57" s="5" t="inlineStr">
        <x:is>
          <x:t xml:space="preserve">High</x:t>
        </x:is>
      </x:c>
      <x:c r="R57" s="5" t="inlineStr">
        <x:is>
          <x:t xml:space="preserve">Medium</x:t>
        </x:is>
      </x:c>
      <x:c r="S57" s="5" t="inlineStr">
        <x:is>
          <x:t xml:space="preserve">Low</x:t>
        </x:is>
      </x:c>
      <x:c r="T57" s="5" t="inlineStr">
        <x:is>
          <x:t xml:space="preserve">Claude Code primary; ChatGPT critique; web optional</x:t>
        </x:is>
      </x:c>
      <x:c r="U57" s="5" t="inlineStr">
        <x:is>
          <x:t xml:space="preserve">Easy</x:t>
        </x:is>
      </x:c>
      <x:c r="V57" s="10" t="n">
        <x:v>1</x:v>
      </x:c>
      <x:c r="W57" s="5" t="inlineStr">
        <x:is>
          <x:t xml:space="preserve">Live execution + code diff + output review</x:t>
        </x:is>
      </x:c>
      <x:c r="X57" s="5" t="inlineStr">
        <x:is>
          <x:t xml:space="preserve">code patch / spec / architecture / debug report</x:t>
        </x:is>
      </x:c>
      <x:c r="Y57" s="5" t="inlineStr">
        <x:is>
          <x:t xml:space="preserve">Produces correct technical plan or working code without breaking current behavior.</x:t>
        </x:is>
      </x:c>
      <x:c r="Z57" s="5" t="inlineStr">
        <x:is>
          <x:t xml:space="preserve">Hallucinated codebase facts, unsafe refactor, broken tests, or vague technical output.</x:t>
        </x:is>
      </x:c>
      <x:c r="AA57" s="5" t="inlineStr">
        <x:is>
          <x:t xml:space="preserve">routing / tool wiring / repo context / codegen guardrails</x:t>
        </x:is>
      </x:c>
      <x:c r="AB57" s="5" t="inlineStr">
        <x:is>
          <x:t xml:space="preserve"/>
        </x:is>
      </x:c>
      <x:c r="AC57" s="5" t="inlineStr">
        <x:is>
          <x:t xml:space="preserve">OpenAI/common use: writing+coding; Menlo enterprise coding is 55% of departmental AI spend; Deloitte top app: work assistance.</x:t>
        </x:is>
      </x:c>
      <x:c r="AD57" s="5" t="inlineStr">
        <x:is>
          <x:t xml:space="preserve">OpenAI GPT-5 / How People Use ChatGPT; Menlo State of GenAI in Enterprise 2025; Deloitte Connected Consumer 2025</x:t>
        </x:is>
      </x:c>
      <x:c r="AE57" s="11">
        <x:f>IF(O57="High",20,IF(O57="Medium",10,IF(O57="Low",5,0)))+IF(P57="High",20,IF(P57="Medium",10,IF(P57="Low",5,0)))+IF(Q57="High",20,IF(Q57="Medium",10,IF(Q57="Low",5,0)))+IF(R57="High",20,IF(R57="Medium",10,IF(R57="Low",5,0)))+IF(S57="High",20,IF(S57="Medium",10,IF(S57="Low",5,0)))</x:f>
        <x:v>45</x:v>
      </x:c>
      <x:c r="AF57" s="12">
        <x:f>ROUND(H57*0.30+J57*0.25+K57*0.20+(100-AE57)*0.10+(100-(V57*20))*0.15,0)</x:f>
        <x:v>73</x:v>
      </x:c>
      <x:c r="AG57" s="13" t="str">
        <x:f>IF(AF57&gt;=80,"Batch 1",IF(AF57&gt;=70,"Batch 2",IF(AF57&gt;=60,"Batch 3","Backlog")))</x:f>
        <x:v>Batch 2</x:v>
      </x:c>
      <x:c r="AH57" t="inlineStr">
        <x:is>
          <x:t xml:space="preserve"/>
        </x:is>
      </x:c>
    </x:row>
    <x:row r="58">
      <x:c r="A58" s="5" t="inlineStr">
        <x:is>
          <x:t xml:space="preserve">GPO-SCH-07</x:t>
        </x:is>
      </x:c>
      <x:c r="B58" s="5" t="n">
        <x:v>54</x:v>
      </x:c>
      <x:c r="C58" s="5" t="inlineStr">
        <x:is>
          <x:t xml:space="preserve">Scheduling &amp; Life Operations</x:t>
        </x:is>
      </x:c>
      <x:c r="D58" s="5" t="inlineStr">
        <x:is>
          <x:t xml:space="preserve">Operate</x:t>
        </x:is>
      </x:c>
      <x:c r="E58" s="5" t="inlineStr">
        <x:is>
          <x:t xml:space="preserve">Core 150</x:t>
        </x:is>
      </x:c>
      <x:c r="F58" s="5" t="n">
        <x:v>7</x:v>
      </x:c>
      <x:c r="G58" s="5" t="inlineStr">
        <x:is>
          <x:t xml:space="preserve">Build a reminder/checklist workflow so I stop dropping important things.</x:t>
        </x:is>
      </x:c>
      <x:c r="H58" s="6" t="n">
        <x:v>67</x:v>
      </x:c>
      <x:c r="I58" s="6" t="n">
        <x:v>67</x:v>
      </x:c>
      <x:c r="J58" s="7" t="n">
        <x:v>81</x:v>
      </x:c>
      <x:c r="K58" s="7" t="n">
        <x:v>73</x:v>
      </x:c>
      <x:c r="L58" s="8" t="inlineStr">
        <x:is>
          <x:t xml:space="preserve">UNTESTED</x:t>
        </x:is>
      </x:c>
      <x:c r="M58" s="9" t="inlineStr">
        <x:is>
          <x:t xml:space="preserve">UNTESTED</x:t>
        </x:is>
      </x:c>
      <x:c r="N58" s="5" t="inlineStr">
        <x:is>
          <x:t xml:space="preserve">task planning; prioritization; calendar reasoning; personal constraints handling</x:t>
        </x:is>
      </x:c>
      <x:c r="O58" s="5" t="inlineStr">
        <x:is>
          <x:t xml:space="preserve">Low</x:t>
        </x:is>
      </x:c>
      <x:c r="P58" s="5" t="inlineStr">
        <x:is>
          <x:t xml:space="preserve">High</x:t>
        </x:is>
      </x:c>
      <x:c r="Q58" s="5" t="inlineStr">
        <x:is>
          <x:t xml:space="preserve">Medium</x:t>
        </x:is>
      </x:c>
      <x:c r="R58" s="5" t="inlineStr">
        <x:is>
          <x:t xml:space="preserve">Low</x:t>
        </x:is>
      </x:c>
      <x:c r="S58" s="5" t="inlineStr">
        <x:is>
          <x:t xml:space="preserve">Low</x:t>
        </x:is>
      </x:c>
      <x:c r="T58" s="5" t="inlineStr">
        <x:is>
          <x:t xml:space="preserve">ChatGPT primary; calendar integrations later</x:t>
        </x:is>
      </x:c>
      <x:c r="U58" s="5" t="inlineStr">
        <x:is>
          <x:t xml:space="preserve">Easy</x:t>
        </x:is>
      </x:c>
      <x:c r="V58" s="10" t="n">
        <x:v>1</x:v>
      </x:c>
      <x:c r="W58" s="5" t="inlineStr">
        <x:is>
          <x:t xml:space="preserve">Scenario-based planning + operator utility review</x:t>
        </x:is>
      </x:c>
      <x:c r="X58" s="5" t="inlineStr">
        <x:is>
          <x:t xml:space="preserve">schedule / checklist / operating plan</x:t>
        </x:is>
      </x:c>
      <x:c r="Y58" s="5" t="inlineStr">
        <x:is>
          <x:t xml:space="preserve">Plan is realistic, prioritized, and executable under stated constraints.</x:t>
        </x:is>
      </x:c>
      <x:c r="Z58" s="5" t="inlineStr">
        <x:is>
          <x:t xml:space="preserve">Overpacked schedule, ignored constraints, or vague next steps.</x:t>
        </x:is>
      </x:c>
      <x:c r="AA58" s="5" t="inlineStr">
        <x:is>
          <x:t xml:space="preserve">planner engine / memory / calendar-tool integration</x:t>
        </x:is>
      </x:c>
      <x:c r="AB58" s="5" t="inlineStr">
        <x:is>
          <x:t xml:space="preserve"/>
        </x:is>
      </x:c>
      <x:c r="AC58" s="5" t="inlineStr">
        <x:is>
          <x:t xml:space="preserve">Menlo consumer AI: 18% use AI to manage to-do lists and 15% to organize notes; Zao-Sanders ranked 'Organise my life' #2.</x:t>
        </x:is>
      </x:c>
      <x:c r="AD58" s="5" t="inlineStr">
        <x:is>
          <x:t xml:space="preserve">Menlo State of Consumer AI 2025; Zao-Sanders Top-100 GenAI Use Cases 2025</x:t>
        </x:is>
      </x:c>
      <x:c r="AE58" s="11">
        <x:f>IF(O58="High",20,IF(O58="Medium",10,IF(O58="Low",5,0)))+IF(P58="High",20,IF(P58="Medium",10,IF(P58="Low",5,0)))+IF(Q58="High",20,IF(Q58="Medium",10,IF(Q58="Low",5,0)))+IF(R58="High",20,IF(R58="Medium",10,IF(R58="Low",5,0)))+IF(S58="High",20,IF(S58="Medium",10,IF(S58="Low",5,0)))</x:f>
        <x:v>45</x:v>
      </x:c>
      <x:c r="AF58" s="12">
        <x:f>ROUND(H58*0.30+J58*0.25+K58*0.20+(100-AE58)*0.10+(100-(V58*20))*0.15,0)</x:f>
        <x:v>72</x:v>
      </x:c>
      <x:c r="AG58" s="13" t="str">
        <x:f>IF(AF58&gt;=80,"Batch 1",IF(AF58&gt;=70,"Batch 2",IF(AF58&gt;=60,"Batch 3","Backlog")))</x:f>
        <x:v>Batch 2</x:v>
      </x:c>
      <x:c r="AH58" t="inlineStr">
        <x:is>
          <x:t xml:space="preserve"/>
        </x:is>
      </x:c>
    </x:row>
    <x:row r="59">
      <x:c r="A59" s="5" t="inlineStr">
        <x:is>
          <x:t xml:space="preserve">GPO-TRA-03</x:t>
        </x:is>
      </x:c>
      <x:c r="B59" s="5" t="n">
        <x:v>55</x:v>
      </x:c>
      <x:c r="C59" s="5" t="inlineStr">
        <x:is>
          <x:t xml:space="preserve">Travel &amp; Relocation Planner</x:t>
        </x:is>
      </x:c>
      <x:c r="D59" s="5" t="inlineStr">
        <x:is>
          <x:t xml:space="preserve">Move</x:t>
        </x:is>
      </x:c>
      <x:c r="E59" s="5" t="inlineStr">
        <x:is>
          <x:t xml:space="preserve">Core 150</x:t>
        </x:is>
      </x:c>
      <x:c r="F59" s="5" t="n">
        <x:v>3</x:v>
      </x:c>
      <x:c r="G59" s="5" t="inlineStr">
        <x:is>
          <x:t xml:space="preserve">Find the smartest flight/hotel/location strategy for this trip.</x:t>
        </x:is>
      </x:c>
      <x:c r="H59" s="6" t="n">
        <x:v>67</x:v>
      </x:c>
      <x:c r="I59" s="6" t="n">
        <x:v>67</x:v>
      </x:c>
      <x:c r="J59" s="7" t="n">
        <x:v>81</x:v>
      </x:c>
      <x:c r="K59" s="7" t="n">
        <x:v>73</x:v>
      </x:c>
      <x:c r="L59" s="8" t="inlineStr">
        <x:is>
          <x:t xml:space="preserve">UNTESTED</x:t>
        </x:is>
      </x:c>
      <x:c r="M59" s="9" t="inlineStr">
        <x:is>
          <x:t xml:space="preserve">UNTESTED</x:t>
        </x:is>
      </x:c>
      <x:c r="N59" s="5" t="inlineStr">
        <x:is>
          <x:t xml:space="preserve">travel research; itinerary planning; logistics reasoning; contingency planning</x:t>
        </x:is>
      </x:c>
      <x:c r="O59" s="5" t="inlineStr">
        <x:is>
          <x:t xml:space="preserve">High</x:t>
        </x:is>
      </x:c>
      <x:c r="P59" s="5" t="inlineStr">
        <x:is>
          <x:t xml:space="preserve">Medium</x:t>
        </x:is>
      </x:c>
      <x:c r="Q59" s="5" t="inlineStr">
        <x:is>
          <x:t xml:space="preserve">Medium</x:t>
        </x:is>
      </x:c>
      <x:c r="R59" s="5" t="inlineStr">
        <x:is>
          <x:t xml:space="preserve">Low</x:t>
        </x:is>
      </x:c>
      <x:c r="S59" s="5" t="inlineStr">
        <x:is>
          <x:t xml:space="preserve">Low</x:t>
        </x:is>
      </x:c>
      <x:c r="T59" s="5" t="inlineStr">
        <x:is>
          <x:t xml:space="preserve">ChatGPT with web; maps/calendar later</x:t>
        </x:is>
      </x:c>
      <x:c r="U59" s="5" t="inlineStr">
        <x:is>
          <x:t xml:space="preserve">Easy</x:t>
        </x:is>
      </x:c>
      <x:c r="V59" s="10" t="n">
        <x:v>1</x:v>
      </x:c>
      <x:c r="W59" s="5" t="inlineStr">
        <x:is>
          <x:t xml:space="preserve">Live trip planning + feasibility review</x:t>
        </x:is>
      </x:c>
      <x:c r="X59" s="5" t="inlineStr">
        <x:is>
          <x:t xml:space="preserve">itinerary / relocation plan / checklist</x:t>
        </x:is>
      </x:c>
      <x:c r="Y59" s="5" t="inlineStr">
        <x:is>
          <x:t xml:space="preserve">Plan is current, geographically sensible, and tuned to budget/constraints.</x:t>
        </x:is>
      </x:c>
      <x:c r="Z59" s="5" t="inlineStr">
        <x:is>
          <x:t xml:space="preserve">Bad logistics, stale info, wrong timing, or generic travel advice.</x:t>
        </x:is>
      </x:c>
      <x:c r="AA59" s="5" t="inlineStr">
        <x:is>
          <x:t xml:space="preserve">travel templates / web + mapping integration / logistics engine</x:t>
        </x:is>
      </x:c>
      <x:c r="AB59" s="5" t="inlineStr">
        <x:is>
          <x:t xml:space="preserve"/>
        </x:is>
      </x:c>
      <x:c r="AC5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59" s="5" t="inlineStr">
        <x:is>
          <x:t xml:space="preserve">Deloitte Connected Consumer 2025; Adobe travel planning 2025</x:t>
        </x:is>
      </x:c>
      <x:c r="AE59" s="11">
        <x:f>IF(O59="High",20,IF(O59="Medium",10,IF(O59="Low",5,0)))+IF(P59="High",20,IF(P59="Medium",10,IF(P59="Low",5,0)))+IF(Q59="High",20,IF(Q59="Medium",10,IF(Q59="Low",5,0)))+IF(R59="High",20,IF(R59="Medium",10,IF(R59="Low",5,0)))+IF(S59="High",20,IF(S59="Medium",10,IF(S59="Low",5,0)))</x:f>
        <x:v>50</x:v>
      </x:c>
      <x:c r="AF59" s="12">
        <x:f>ROUND(H59*0.30+J59*0.25+K59*0.20+(100-AE59)*0.10+(100-(V59*20))*0.15,0)</x:f>
        <x:v>72</x:v>
      </x:c>
      <x:c r="AG59" s="13" t="str">
        <x:f>IF(AF59&gt;=80,"Batch 1",IF(AF59&gt;=70,"Batch 2",IF(AF59&gt;=60,"Batch 3","Backlog")))</x:f>
        <x:v>Batch 2</x:v>
      </x:c>
      <x:c r="AH59" t="inlineStr">
        <x:is>
          <x:t xml:space="preserve"/>
        </x:is>
      </x:c>
    </x:row>
    <x:row r="60">
      <x:c r="A60" s="5" t="inlineStr">
        <x:is>
          <x:t xml:space="preserve">GPO-SHO-05</x:t>
        </x:is>
      </x:c>
      <x:c r="B60" s="5" t="n">
        <x:v>56</x:v>
      </x:c>
      <x:c r="C60" s="5" t="inlineStr">
        <x:is>
          <x:t xml:space="preserve">Shopping &amp; Buying Advisor</x:t>
        </x:is>
      </x:c>
      <x:c r="D60" s="5" t="inlineStr">
        <x:is>
          <x:t xml:space="preserve">Buy</x:t>
        </x:is>
      </x:c>
      <x:c r="E60" s="5" t="inlineStr">
        <x:is>
          <x:t xml:space="preserve">Core 150</x:t>
        </x:is>
      </x:c>
      <x:c r="F60" s="5" t="n">
        <x:v>5</x:v>
      </x:c>
      <x:c r="G60" s="5" t="inlineStr">
        <x:is>
          <x:t xml:space="preserve">Tell me whether this deal is genuinely good or just marketing.</x:t>
        </x:is>
      </x:c>
      <x:c r="H60" s="6" t="n">
        <x:v>66</x:v>
      </x:c>
      <x:c r="I60" s="6" t="n">
        <x:v>66</x:v>
      </x:c>
      <x:c r="J60" s="7" t="n">
        <x:v>82</x:v>
      </x:c>
      <x:c r="K60" s="7" t="n">
        <x:v>73</x:v>
      </x:c>
      <x:c r="L60" s="8" t="inlineStr">
        <x:is>
          <x:t xml:space="preserve">UNTESTED</x:t>
        </x:is>
      </x:c>
      <x:c r="M60" s="9" t="inlineStr">
        <x:is>
          <x:t xml:space="preserve">UNTESTED</x:t>
        </x:is>
      </x:c>
      <x:c r="N60" s="5" t="inlineStr">
        <x:is>
          <x:t xml:space="preserve">web/product research; comparison; price-value reasoning; shortlist generation</x:t>
        </x:is>
      </x:c>
      <x:c r="O60" s="5" t="inlineStr">
        <x:is>
          <x:t xml:space="preserve">High</x:t>
        </x:is>
      </x:c>
      <x:c r="P60" s="5" t="inlineStr">
        <x:is>
          <x:t xml:space="preserve">Medium</x:t>
        </x:is>
      </x:c>
      <x:c r="Q60" s="5" t="inlineStr">
        <x:is>
          <x:t xml:space="preserve">Medium</x:t>
        </x:is>
      </x:c>
      <x:c r="R60" s="5" t="inlineStr">
        <x:is>
          <x:t xml:space="preserve">Low</x:t>
        </x:is>
      </x:c>
      <x:c r="S60" s="5" t="inlineStr">
        <x:is>
          <x:t xml:space="preserve">Low</x:t>
        </x:is>
      </x:c>
      <x:c r="T60" s="5" t="inlineStr">
        <x:is>
          <x:t xml:space="preserve">ChatGPT with web</x:t>
        </x:is>
      </x:c>
      <x:c r="U60" s="5" t="inlineStr">
        <x:is>
          <x:t xml:space="preserve">Easy</x:t>
        </x:is>
      </x:c>
      <x:c r="V60" s="10" t="n">
        <x:v>1</x:v>
      </x:c>
      <x:c r="W60" s="5" t="inlineStr">
        <x:is>
          <x:t xml:space="preserve">Live shopping query + recommendation validation</x:t>
        </x:is>
      </x:c>
      <x:c r="X60" s="5" t="inlineStr">
        <x:is>
          <x:t xml:space="preserve">shortlist / recommendation / comparison / cart plan</x:t>
        </x:is>
      </x:c>
      <x:c r="Y60" s="5" t="inlineStr">
        <x:is>
          <x:t xml:space="preserve">Recommendation fits constraints and explains tradeoffs clearly.</x:t>
        </x:is>
      </x:c>
      <x:c r="Z60" s="5" t="inlineStr">
        <x:is>
          <x:t xml:space="preserve">Outdated products, poor fit, missed constraints, or shallow comparison.</x:t>
        </x:is>
      </x:c>
      <x:c r="AA60" s="5" t="inlineStr">
        <x:is>
          <x:t xml:space="preserve">web/product retrieval / comparison template / user preference memory</x:t>
        </x:is>
      </x:c>
      <x:c r="AB60" s="5" t="inlineStr">
        <x:is>
          <x:t xml:space="preserve"/>
        </x:is>
      </x:c>
      <x:c r="AC60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60" s="5" t="inlineStr">
        <x:is>
          <x:t xml:space="preserve">Deloitte Connected Consumer 2025; Salesforce Connected Shopper 2025; IAB 2025 shopping study</x:t>
        </x:is>
      </x:c>
      <x:c r="AE60" s="11">
        <x:f>IF(O60="High",20,IF(O60="Medium",10,IF(O60="Low",5,0)))+IF(P60="High",20,IF(P60="Medium",10,IF(P60="Low",5,0)))+IF(Q60="High",20,IF(Q60="Medium",10,IF(Q60="Low",5,0)))+IF(R60="High",20,IF(R60="Medium",10,IF(R60="Low",5,0)))+IF(S60="High",20,IF(S60="Medium",10,IF(S60="Low",5,0)))</x:f>
        <x:v>50</x:v>
      </x:c>
      <x:c r="AF60" s="12">
        <x:f>ROUND(H60*0.30+J60*0.25+K60*0.20+(100-AE60)*0.10+(100-(V60*20))*0.15,0)</x:f>
        <x:v>72</x:v>
      </x:c>
      <x:c r="AG60" s="13" t="str">
        <x:f>IF(AF60&gt;=80,"Batch 1",IF(AF60&gt;=70,"Batch 2",IF(AF60&gt;=60,"Batch 3","Backlog")))</x:f>
        <x:v>Batch 2</x:v>
      </x:c>
      <x:c r="AH60" t="inlineStr">
        <x:is>
          <x:t xml:space="preserve"/>
        </x:is>
      </x:c>
    </x:row>
    <x:row r="61">
      <x:c r="A61" s="5" t="inlineStr">
        <x:is>
          <x:t xml:space="preserve">GPO-WRI-12</x:t>
        </x:is>
      </x:c>
      <x:c r="B61" s="5" t="n">
        <x:v>57</x:v>
      </x:c>
      <x:c r="C61" s="5" t="inlineStr">
        <x:is>
          <x:t xml:space="preserve">Writing &amp; Documentation</x:t>
        </x:is>
      </x:c>
      <x:c r="D61" s="5" t="inlineStr">
        <x:is>
          <x:t xml:space="preserve">Create</x:t>
        </x:is>
      </x:c>
      <x:c r="E61" s="5" t="inlineStr">
        <x:is>
          <x:t xml:space="preserve">Expansion 150</x:t>
        </x:is>
      </x:c>
      <x:c r="F61" s="5" t="n">
        <x:v>12</x:v>
      </x:c>
      <x:c r="G61" s="5" t="inlineStr">
        <x:is>
          <x:t xml:space="preserve">Edit this resume/LinkedIn summary so it is credible, specific, and high impact.</x:t>
        </x:is>
      </x:c>
      <x:c r="H61" s="6" t="n">
        <x:v>64</x:v>
      </x:c>
      <x:c r="I61" s="6" t="n">
        <x:v>64</x:v>
      </x:c>
      <x:c r="J61" s="7" t="n">
        <x:v>85</x:v>
      </x:c>
      <x:c r="K61" s="7" t="n">
        <x:v>73</x:v>
      </x:c>
      <x:c r="L61" s="8" t="inlineStr">
        <x:is>
          <x:t xml:space="preserve">UNTESTED</x:t>
        </x:is>
      </x:c>
      <x:c r="M61" s="9" t="inlineStr">
        <x:is>
          <x:t xml:space="preserve">UNTESTED</x:t>
        </x:is>
      </x:c>
      <x:c r="N61" s="5" t="inlineStr">
        <x:is>
          <x:t xml:space="preserve">writing quality; summarization; style control; structured artifacts</x:t>
        </x:is>
      </x:c>
      <x:c r="O61" s="5" t="inlineStr">
        <x:is>
          <x:t xml:space="preserve">Low</x:t>
        </x:is>
      </x:c>
      <x:c r="P61" s="5" t="inlineStr">
        <x:is>
          <x:t xml:space="preserve">Medium</x:t>
        </x:is>
      </x:c>
      <x:c r="Q61" s="5" t="inlineStr">
        <x:is>
          <x:t xml:space="preserve">Low</x:t>
        </x:is>
      </x:c>
      <x:c r="R61" s="5" t="inlineStr">
        <x:is>
          <x:t xml:space="preserve">Low</x:t>
        </x:is>
      </x:c>
      <x:c r="S61" s="5" t="inlineStr">
        <x:is>
          <x:t xml:space="preserve">Low</x:t>
        </x:is>
      </x:c>
      <x:c r="T61" s="5" t="inlineStr">
        <x:is>
          <x:t xml:space="preserve">ChatGPT or Claude; human review optional</x:t>
        </x:is>
      </x:c>
      <x:c r="U61" s="5" t="inlineStr">
        <x:is>
          <x:t xml:space="preserve">Easy</x:t>
        </x:is>
      </x:c>
      <x:c r="V61" s="10" t="n">
        <x:v>1</x:v>
      </x:c>
      <x:c r="W61" s="5" t="inlineStr">
        <x:is>
          <x:t xml:space="preserve">Prompt execution + artifact quality review</x:t>
        </x:is>
      </x:c>
      <x:c r="X61" s="5" t="inlineStr">
        <x:is>
          <x:t xml:space="preserve">doc / memo / email / FAQ / summary</x:t>
        </x:is>
      </x:c>
      <x:c r="Y61" s="5" t="inlineStr">
        <x:is>
          <x:t xml:space="preserve">Output is clear, tailored, structurally sound, and immediately usable.</x:t>
        </x:is>
      </x:c>
      <x:c r="Z61" s="5" t="inlineStr">
        <x:is>
          <x:t xml:space="preserve">Generic tone, missing context, weak structure, or wrong audience level.</x:t>
        </x:is>
      </x:c>
      <x:c r="AA61" s="5" t="inlineStr">
        <x:is>
          <x:t xml:space="preserve">prompt pack / style guidance / output schema</x:t>
        </x:is>
      </x:c>
      <x:c r="AB61" s="5" t="inlineStr">
        <x:is>
          <x:t xml:space="preserve"/>
        </x:is>
      </x:c>
      <x:c r="AC61" s="5" t="inlineStr">
        <x:is>
          <x:t xml:space="preserve">OpenAI usage paper: Writing is in top 3 categories; Menlo consumer AI says 19% use AI to write emails and 18% get writing support.</x:t>
        </x:is>
      </x:c>
      <x:c r="AD61" s="5" t="inlineStr">
        <x:is>
          <x:t xml:space="preserve">OpenAI How People Use ChatGPT paper; Menlo State of Consumer AI 2025</x:t>
        </x:is>
      </x:c>
      <x:c r="AE61" s="11">
        <x:f>IF(O61="High",20,IF(O61="Medium",10,IF(O61="Low",5,0)))+IF(P61="High",20,IF(P61="Medium",10,IF(P61="Low",5,0)))+IF(Q61="High",20,IF(Q61="Medium",10,IF(Q61="Low",5,0)))+IF(R61="High",20,IF(R61="Medium",10,IF(R61="Low",5,0)))+IF(S61="High",20,IF(S61="Medium",10,IF(S61="Low",5,0)))</x:f>
        <x:v>30</x:v>
      </x:c>
      <x:c r="AF61" s="12">
        <x:f>ROUND(H61*0.30+J61*0.25+K61*0.20+(100-AE61)*0.10+(100-(V61*20))*0.15,0)</x:f>
        <x:v>74</x:v>
      </x:c>
      <x:c r="AG61" s="13" t="str">
        <x:f>IF(AF61&gt;=80,"Batch 1",IF(AF61&gt;=70,"Batch 2",IF(AF61&gt;=60,"Batch 3","Backlog")))</x:f>
        <x:v>Batch 2</x:v>
      </x:c>
      <x:c r="AH61" t="inlineStr">
        <x:is>
          <x:t xml:space="preserve"/>
        </x:is>
      </x:c>
    </x:row>
    <x:row r="62">
      <x:c r="A62" s="5" t="inlineStr">
        <x:is>
          <x:t xml:space="preserve">GPO-RES-10</x:t>
        </x:is>
      </x:c>
      <x:c r="B62" s="5" t="n">
        <x:v>58</x:v>
      </x:c>
      <x:c r="C62" s="5" t="inlineStr">
        <x:is>
          <x:t xml:space="preserve">Research &amp; Analysis</x:t>
        </x:is>
      </x:c>
      <x:c r="D62" s="5" t="inlineStr">
        <x:is>
          <x:t xml:space="preserve">Think</x:t>
        </x:is>
      </x:c>
      <x:c r="E62" s="5" t="inlineStr">
        <x:is>
          <x:t xml:space="preserve">Core 150</x:t>
        </x:is>
      </x:c>
      <x:c r="F62" s="5" t="n">
        <x:v>10</x:v>
      </x:c>
      <x:c r="G62" s="5" t="inlineStr">
        <x:is>
          <x:t xml:space="preserve">Find all the likely failure modes in this plan before I commit time or money.</x:t>
        </x:is>
      </x:c>
      <x:c r="H62" s="6" t="n">
        <x:v>66</x:v>
      </x:c>
      <x:c r="I62" s="6" t="n">
        <x:v>66</x:v>
      </x:c>
      <x:c r="J62" s="7" t="n">
        <x:v>81</x:v>
      </x:c>
      <x:c r="K62" s="7" t="n">
        <x:v>73</x:v>
      </x:c>
      <x:c r="L62" s="8" t="inlineStr">
        <x:is>
          <x:t xml:space="preserve">UNTESTED</x:t>
        </x:is>
      </x:c>
      <x:c r="M62" s="9" t="inlineStr">
        <x:is>
          <x:t xml:space="preserve">UNTESTED</x:t>
        </x:is>
      </x:c>
      <x:c r="N62" s="5" t="inlineStr">
        <x:is>
          <x:t xml:space="preserve">web research; synthesis; citation discipline; decision framing</x:t>
        </x:is>
      </x:c>
      <x:c r="O62" s="5" t="inlineStr">
        <x:is>
          <x:t xml:space="preserve">High</x:t>
        </x:is>
      </x:c>
      <x:c r="P62" s="5" t="inlineStr">
        <x:is>
          <x:t xml:space="preserve">Medium</x:t>
        </x:is>
      </x:c>
      <x:c r="Q62" s="5" t="inlineStr">
        <x:is>
          <x:t xml:space="preserve">Medium</x:t>
        </x:is>
      </x:c>
      <x:c r="R62" s="5" t="inlineStr">
        <x:is>
          <x:t xml:space="preserve">Medium</x:t>
        </x:is>
      </x:c>
      <x:c r="S62" s="5" t="inlineStr">
        <x:is>
          <x:t xml:space="preserve">Low</x:t>
        </x:is>
      </x:c>
      <x:c r="T62" s="5" t="inlineStr">
        <x:is>
          <x:t xml:space="preserve">ChatGPT with web; Claude for synthesis</x:t>
        </x:is>
      </x:c>
      <x:c r="U62" s="5" t="inlineStr">
        <x:is>
          <x:t xml:space="preserve">Easy</x:t>
        </x:is>
      </x:c>
      <x:c r="V62" s="10" t="n">
        <x:v>1</x:v>
      </x:c>
      <x:c r="W62" s="5" t="inlineStr">
        <x:is>
          <x:t xml:space="preserve">Live research + source validation + recommendation review</x:t>
        </x:is>
      </x:c>
      <x:c r="X62" s="5" t="inlineStr">
        <x:is>
          <x:t xml:space="preserve">brief / comparison / decision memo / risk analysis</x:t>
        </x:is>
      </x:c>
      <x:c r="Y62" s="5" t="inlineStr">
        <x:is>
          <x:t xml:space="preserve">Accurate synthesis with evidence, tradeoffs, and a concrete recommendation.</x:t>
        </x:is>
      </x:c>
      <x:c r="Z62" s="5" t="inlineStr">
        <x:is>
          <x:t xml:space="preserve">Stale facts, no citations, weak reasoning, or surface-level synthesis.</x:t>
        </x:is>
      </x:c>
      <x:c r="AA62" s="5" t="inlineStr">
        <x:is>
          <x:t xml:space="preserve">web integration / citation enforcement / analysis rubric</x:t>
        </x:is>
      </x:c>
      <x:c r="AB62" s="5" t="inlineStr">
        <x:is>
          <x:t xml:space="preserve"/>
        </x:is>
      </x:c>
      <x:c r="AC62" s="5" t="inlineStr">
        <x:is>
          <x:t xml:space="preserve">OpenAI usage paper: Seeking Information is in top 3 categories; work/advice/search are common across Deloitte and OpenAI.</x:t>
        </x:is>
      </x:c>
      <x:c r="AD62" s="5" t="inlineStr">
        <x:is>
          <x:t xml:space="preserve">OpenAI How People Use ChatGPT paper; Deloitte Connected Consumer 2025</x:t>
        </x:is>
      </x:c>
      <x:c r="AE62" s="11">
        <x:f>IF(O62="High",20,IF(O62="Medium",10,IF(O62="Low",5,0)))+IF(P62="High",20,IF(P62="Medium",10,IF(P62="Low",5,0)))+IF(Q62="High",20,IF(Q62="Medium",10,IF(Q62="Low",5,0)))+IF(R62="High",20,IF(R62="Medium",10,IF(R62="Low",5,0)))+IF(S62="High",20,IF(S62="Medium",10,IF(S62="Low",5,0)))</x:f>
        <x:v>55</x:v>
      </x:c>
      <x:c r="AF62" s="12">
        <x:f>ROUND(H62*0.30+J62*0.25+K62*0.20+(100-AE62)*0.10+(100-(V62*20))*0.15,0)</x:f>
        <x:v>71</x:v>
      </x:c>
      <x:c r="AG62" s="13" t="str">
        <x:f>IF(AF62&gt;=80,"Batch 1",IF(AF62&gt;=70,"Batch 2",IF(AF62&gt;=60,"Batch 3","Backlog")))</x:f>
        <x:v>Batch 2</x:v>
      </x:c>
      <x:c r="AH62" t="inlineStr">
        <x:is>
          <x:t xml:space="preserve"/>
        </x:is>
      </x:c>
    </x:row>
    <x:row r="63">
      <x:c r="A63" s="5" t="inlineStr">
        <x:is>
          <x:t xml:space="preserve">GPO-TRA-04</x:t>
        </x:is>
      </x:c>
      <x:c r="B63" s="5" t="n">
        <x:v>59</x:v>
      </x:c>
      <x:c r="C63" s="5" t="inlineStr">
        <x:is>
          <x:t xml:space="preserve">Travel &amp; Relocation Planner</x:t>
        </x:is>
      </x:c>
      <x:c r="D63" s="5" t="inlineStr">
        <x:is>
          <x:t xml:space="preserve">Move</x:t>
        </x:is>
      </x:c>
      <x:c r="E63" s="5" t="inlineStr">
        <x:is>
          <x:t xml:space="preserve">Core 150</x:t>
        </x:is>
      </x:c>
      <x:c r="F63" s="5" t="n">
        <x:v>4</x:v>
      </x:c>
      <x:c r="G63" s="5" t="inlineStr">
        <x:is>
          <x:t xml:space="preserve">Help me compare cities/countries for living, working, or visiting.</x:t>
        </x:is>
      </x:c>
      <x:c r="H63" s="6" t="n">
        <x:v>66</x:v>
      </x:c>
      <x:c r="I63" s="6" t="n">
        <x:v>66</x:v>
      </x:c>
      <x:c r="J63" s="7" t="n">
        <x:v>81</x:v>
      </x:c>
      <x:c r="K63" s="7" t="n">
        <x:v>73</x:v>
      </x:c>
      <x:c r="L63" s="8" t="inlineStr">
        <x:is>
          <x:t xml:space="preserve">UNTESTED</x:t>
        </x:is>
      </x:c>
      <x:c r="M63" s="9" t="inlineStr">
        <x:is>
          <x:t xml:space="preserve">UNTESTED</x:t>
        </x:is>
      </x:c>
      <x:c r="N63" s="5" t="inlineStr">
        <x:is>
          <x:t xml:space="preserve">travel research; itinerary planning; logistics reasoning; contingency planning</x:t>
        </x:is>
      </x:c>
      <x:c r="O63" s="5" t="inlineStr">
        <x:is>
          <x:t xml:space="preserve">High</x:t>
        </x:is>
      </x:c>
      <x:c r="P63" s="5" t="inlineStr">
        <x:is>
          <x:t xml:space="preserve">Medium</x:t>
        </x:is>
      </x:c>
      <x:c r="Q63" s="5" t="inlineStr">
        <x:is>
          <x:t xml:space="preserve">Medium</x:t>
        </x:is>
      </x:c>
      <x:c r="R63" s="5" t="inlineStr">
        <x:is>
          <x:t xml:space="preserve">Low</x:t>
        </x:is>
      </x:c>
      <x:c r="S63" s="5" t="inlineStr">
        <x:is>
          <x:t xml:space="preserve">Low</x:t>
        </x:is>
      </x:c>
      <x:c r="T63" s="5" t="inlineStr">
        <x:is>
          <x:t xml:space="preserve">ChatGPT with web; maps/calendar later</x:t>
        </x:is>
      </x:c>
      <x:c r="U63" s="5" t="inlineStr">
        <x:is>
          <x:t xml:space="preserve">Easy</x:t>
        </x:is>
      </x:c>
      <x:c r="V63" s="10" t="n">
        <x:v>1</x:v>
      </x:c>
      <x:c r="W63" s="5" t="inlineStr">
        <x:is>
          <x:t xml:space="preserve">Live trip planning + feasibility review</x:t>
        </x:is>
      </x:c>
      <x:c r="X63" s="5" t="inlineStr">
        <x:is>
          <x:t xml:space="preserve">itinerary / relocation plan / checklist</x:t>
        </x:is>
      </x:c>
      <x:c r="Y63" s="5" t="inlineStr">
        <x:is>
          <x:t xml:space="preserve">Plan is current, geographically sensible, and tuned to budget/constraints.</x:t>
        </x:is>
      </x:c>
      <x:c r="Z63" s="5" t="inlineStr">
        <x:is>
          <x:t xml:space="preserve">Bad logistics, stale info, wrong timing, or generic travel advice.</x:t>
        </x:is>
      </x:c>
      <x:c r="AA63" s="5" t="inlineStr">
        <x:is>
          <x:t xml:space="preserve">travel templates / web + mapping integration / logistics engine</x:t>
        </x:is>
      </x:c>
      <x:c r="AB63" s="5" t="inlineStr">
        <x:is>
          <x:t xml:space="preserve"/>
        </x:is>
      </x:c>
      <x:c r="AC63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63" s="5" t="inlineStr">
        <x:is>
          <x:t xml:space="preserve">Deloitte Connected Consumer 2025; Adobe travel planning 2025</x:t>
        </x:is>
      </x:c>
      <x:c r="AE63" s="11">
        <x:f>IF(O63="High",20,IF(O63="Medium",10,IF(O63="Low",5,0)))+IF(P63="High",20,IF(P63="Medium",10,IF(P63="Low",5,0)))+IF(Q63="High",20,IF(Q63="Medium",10,IF(Q63="Low",5,0)))+IF(R63="High",20,IF(R63="Medium",10,IF(R63="Low",5,0)))+IF(S63="High",20,IF(S63="Medium",10,IF(S63="Low",5,0)))</x:f>
        <x:v>50</x:v>
      </x:c>
      <x:c r="AF63" s="12">
        <x:f>ROUND(H63*0.30+J63*0.25+K63*0.20+(100-AE63)*0.10+(100-(V63*20))*0.15,0)</x:f>
        <x:v>72</x:v>
      </x:c>
      <x:c r="AG63" s="13" t="str">
        <x:f>IF(AF63&gt;=80,"Batch 1",IF(AF63&gt;=70,"Batch 2",IF(AF63&gt;=60,"Batch 3","Backlog")))</x:f>
        <x:v>Batch 2</x:v>
      </x:c>
      <x:c r="AH63" t="inlineStr">
        <x:is>
          <x:t xml:space="preserve"/>
        </x:is>
      </x:c>
    </x:row>
    <x:row r="64">
      <x:c r="A64" s="5" t="inlineStr">
        <x:is>
          <x:t xml:space="preserve">GPO-CAR-01</x:t>
        </x:is>
      </x:c>
      <x:c r="B64" s="5" t="n">
        <x:v>60</x:v>
      </x:c>
      <x:c r="C64" s="5" t="inlineStr">
        <x:is>
          <x:t xml:space="preserve">Career &amp; Job Search</x:t>
        </x:is>
      </x:c>
      <x:c r="D64" s="5" t="inlineStr">
        <x:is>
          <x:t xml:space="preserve">Advance</x:t>
        </x:is>
      </x:c>
      <x:c r="E64" s="5" t="inlineStr">
        <x:is>
          <x:t xml:space="preserve">Core 150</x:t>
        </x:is>
      </x:c>
      <x:c r="F64" s="5" t="n">
        <x:v>1</x:v>
      </x:c>
      <x:c r="G64" s="5" t="inlineStr">
        <x:is>
          <x:t xml:space="preserve">Rewrite my resume for the target role so it is strong, specific, and ATS-aware.</x:t>
        </x:is>
      </x:c>
      <x:c r="H64" s="6" t="n">
        <x:v>64</x:v>
      </x:c>
      <x:c r="I64" s="6" t="n">
        <x:v>64</x:v>
      </x:c>
      <x:c r="J64" s="7" t="n">
        <x:v>84</x:v>
      </x:c>
      <x:c r="K64" s="7" t="n">
        <x:v>73</x:v>
      </x:c>
      <x:c r="L64" s="8" t="inlineStr">
        <x:is>
          <x:t xml:space="preserve">UNTESTED</x:t>
        </x:is>
      </x:c>
      <x:c r="M64" s="9" t="inlineStr">
        <x:is>
          <x:t xml:space="preserve">UNTESTED</x:t>
        </x:is>
      </x:c>
      <x:c r="N64" s="5" t="inlineStr">
        <x:is>
          <x:t xml:space="preserve">resume tailoring; interview prep; role mapping; narrative building</x:t>
        </x:is>
      </x:c>
      <x:c r="O64" s="5" t="inlineStr">
        <x:is>
          <x:t xml:space="preserve">Medium</x:t>
        </x:is>
      </x:c>
      <x:c r="P64" s="5" t="inlineStr">
        <x:is>
          <x:t xml:space="preserve">High</x:t>
        </x:is>
      </x:c>
      <x:c r="Q64" s="5" t="inlineStr">
        <x:is>
          <x:t xml:space="preserve">Low</x:t>
        </x:is>
      </x:c>
      <x:c r="R64" s="5" t="inlineStr">
        <x:is>
          <x:t xml:space="preserve">Low</x:t>
        </x:is>
      </x:c>
      <x:c r="S64" s="5" t="inlineStr">
        <x:is>
          <x:t xml:space="preserve">Low</x:t>
        </x:is>
      </x:c>
      <x:c r="T64" s="5" t="inlineStr">
        <x:is>
          <x:t xml:space="preserve">ChatGPT primary</x:t>
        </x:is>
      </x:c>
      <x:c r="U64" s="5" t="inlineStr">
        <x:is>
          <x:t xml:space="preserve">Easy</x:t>
        </x:is>
      </x:c>
      <x:c r="V64" s="10" t="n">
        <x:v>1</x:v>
      </x:c>
      <x:c r="W64" s="5" t="inlineStr">
        <x:is>
          <x:t xml:space="preserve">Artifact review + mock interview + targeting review</x:t>
        </x:is>
      </x:c>
      <x:c r="X64" s="5" t="inlineStr">
        <x:is>
          <x:t xml:space="preserve">resume / prep plan / outreach / strategy memo</x:t>
        </x:is>
      </x:c>
      <x:c r="Y64" s="5" t="inlineStr">
        <x:is>
          <x:t xml:space="preserve">Career outputs are specific, credible, and materially improve positioning.</x:t>
        </x:is>
      </x:c>
      <x:c r="Z64" s="5" t="inlineStr">
        <x:is>
          <x:t xml:space="preserve">Generic resume language, fake-sounding stories, or weak role fit.</x:t>
        </x:is>
      </x:c>
      <x:c r="AA64" s="5" t="inlineStr">
        <x:is>
          <x:t xml:space="preserve">career templates / memory / ATS-aware output logic</x:t>
        </x:is>
      </x:c>
      <x:c r="AB64" s="5" t="inlineStr">
        <x:is>
          <x:t xml:space="preserve"/>
        </x:is>
      </x:c>
      <x:c r="AC64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64" s="5" t="inlineStr">
        <x:is>
          <x:t xml:space="preserve">Insight Global AI in Hiring Report 2025; NACE student survey 2025/2026</x:t>
        </x:is>
      </x:c>
      <x:c r="AE64" s="11">
        <x:f>IF(O64="High",20,IF(O64="Medium",10,IF(O64="Low",5,0)))+IF(P64="High",20,IF(P64="Medium",10,IF(P64="Low",5,0)))+IF(Q64="High",20,IF(Q64="Medium",10,IF(Q64="Low",5,0)))+IF(R64="High",20,IF(R64="Medium",10,IF(R64="Low",5,0)))+IF(S64="High",20,IF(S64="Medium",10,IF(S64="Low",5,0)))</x:f>
        <x:v>45</x:v>
      </x:c>
      <x:c r="AF64" s="12">
        <x:f>ROUND(H64*0.30+J64*0.25+K64*0.20+(100-AE64)*0.10+(100-(V64*20))*0.15,0)</x:f>
        <x:v>72</x:v>
      </x:c>
      <x:c r="AG64" s="13" t="str">
        <x:f>IF(AF64&gt;=80,"Batch 1",IF(AF64&gt;=70,"Batch 2",IF(AF64&gt;=60,"Batch 3","Backlog")))</x:f>
        <x:v>Batch 2</x:v>
      </x:c>
      <x:c r="AH64" t="inlineStr">
        <x:is>
          <x:t xml:space="preserve"/>
        </x:is>
      </x:c>
    </x:row>
    <x:row r="65">
      <x:c r="A65" s="5" t="inlineStr">
        <x:is>
          <x:t xml:space="preserve">GPO-PER-01</x:t>
        </x:is>
      </x:c>
      <x:c r="B65" s="5" t="n">
        <x:v>61</x:v>
      </x:c>
      <x:c r="C65" s="5" t="inlineStr">
        <x:is>
          <x:t xml:space="preserve">Personal Finance &amp; Investing</x:t>
        </x:is>
      </x:c>
      <x:c r="D65" s="5" t="inlineStr">
        <x:is>
          <x:t xml:space="preserve">Money</x:t>
        </x:is>
      </x:c>
      <x:c r="E65" s="5" t="inlineStr">
        <x:is>
          <x:t xml:space="preserve">Core 150</x:t>
        </x:is>
      </x:c>
      <x:c r="F65" s="5" t="n">
        <x:v>1</x:v>
      </x:c>
      <x:c r="G65" s="5" t="inlineStr">
        <x:is>
          <x:t xml:space="preserve">Build a monthly budget that still lets me enjoy life and hit my savings goals.</x:t>
        </x:is>
      </x:c>
      <x:c r="H65" s="6" t="n">
        <x:v>68</x:v>
      </x:c>
      <x:c r="I65" s="6" t="n">
        <x:v>68</x:v>
      </x:c>
      <x:c r="J65" s="7" t="n">
        <x:v>78</x:v>
      </x:c>
      <x:c r="K65" s="7" t="n">
        <x:v>72</x:v>
      </x:c>
      <x:c r="L65" s="8" t="inlineStr">
        <x:is>
          <x:t xml:space="preserve">UNTESTED</x:t>
        </x:is>
      </x:c>
      <x:c r="M65" s="9" t="inlineStr">
        <x:is>
          <x:t xml:space="preserve">UNTESTED</x:t>
        </x:is>
      </x:c>
      <x:c r="N65" s="5" t="inlineStr">
        <x:is>
          <x:t xml:space="preserve">scenario modeling; budgeting; portfolio reasoning; decision framing</x:t>
        </x:is>
      </x:c>
      <x:c r="O65" s="5" t="inlineStr">
        <x:is>
          <x:t xml:space="preserve">Medium</x:t>
        </x:is>
      </x:c>
      <x:c r="P65" s="5" t="inlineStr">
        <x:is>
          <x:t xml:space="preserve">High</x:t>
        </x:is>
      </x:c>
      <x:c r="Q65" s="5" t="inlineStr">
        <x:is>
          <x:t xml:space="preserve">Medium</x:t>
        </x:is>
      </x:c>
      <x:c r="R65" s="5" t="inlineStr">
        <x:is>
          <x:t xml:space="preserve">Low</x:t>
        </x:is>
      </x:c>
      <x:c r="S65" s="5" t="inlineStr">
        <x:is>
          <x:t xml:space="preserve">Medium</x:t>
        </x:is>
      </x:c>
      <x:c r="T65" s="5" t="inlineStr">
        <x:is>
          <x:t xml:space="preserve">ChatGPT or Claude with spreadsheet support</x:t>
        </x:is>
      </x:c>
      <x:c r="U65" s="5" t="inlineStr">
        <x:is>
          <x:t xml:space="preserve">Easy</x:t>
        </x:is>
      </x:c>
      <x:c r="V65" s="10" t="n">
        <x:v>1</x:v>
      </x:c>
      <x:c r="W65" s="5" t="inlineStr">
        <x:is>
          <x:t xml:space="preserve">Scenario modeling + coherence review</x:t>
        </x:is>
      </x:c>
      <x:c r="X65" s="5" t="inlineStr">
        <x:is>
          <x:t xml:space="preserve">budget / model / plan / recommendation</x:t>
        </x:is>
      </x:c>
      <x:c r="Y65" s="5" t="inlineStr">
        <x:is>
          <x:t xml:space="preserve">Advice is numerically coherent, practical, and transparent about assumptions.</x:t>
        </x:is>
      </x:c>
      <x:c r="Z65" s="5" t="inlineStr">
        <x:is>
          <x:t xml:space="preserve">Bad math, missing assumptions, or overconfident investment guidance.</x:t>
        </x:is>
      </x:c>
      <x:c r="AA65" s="5" t="inlineStr">
        <x:is>
          <x:t xml:space="preserve">financial calculator / assumption schema / spreadsheet outputs</x:t>
        </x:is>
      </x:c>
      <x:c r="AB65" s="5" t="inlineStr">
        <x:is>
          <x:t xml:space="preserve"/>
        </x:is>
      </x:c>
      <x:c r="AC65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65" s="5" t="inlineStr">
        <x:is>
          <x:t xml:space="preserve">FNBO Financial Wellbeing Study 2025; NerdWallet/Harris Poll 2026; PlanAdviser 2026</x:t>
        </x:is>
      </x:c>
      <x:c r="AE65" s="11">
        <x:f>IF(O65="High",20,IF(O65="Medium",10,IF(O65="Low",5,0)))+IF(P65="High",20,IF(P65="Medium",10,IF(P65="Low",5,0)))+IF(Q65="High",20,IF(Q65="Medium",10,IF(Q65="Low",5,0)))+IF(R65="High",20,IF(R65="Medium",10,IF(R65="Low",5,0)))+IF(S65="High",20,IF(S65="Medium",10,IF(S65="Low",5,0)))</x:f>
        <x:v>55</x:v>
      </x:c>
      <x:c r="AF65" s="12">
        <x:f>ROUND(H65*0.30+J65*0.25+K65*0.20+(100-AE65)*0.10+(100-(V65*20))*0.15,0)</x:f>
        <x:v>71</x:v>
      </x:c>
      <x:c r="AG65" s="13" t="str">
        <x:f>IF(AF65&gt;=80,"Batch 1",IF(AF65&gt;=70,"Batch 2",IF(AF65&gt;=60,"Batch 3","Backlog")))</x:f>
        <x:v>Batch 2</x:v>
      </x:c>
      <x:c r="AH65" t="inlineStr">
        <x:is>
          <x:t xml:space="preserve"/>
        </x:is>
      </x:c>
    </x:row>
    <x:row r="66">
      <x:c r="A66" s="5" t="inlineStr">
        <x:is>
          <x:t xml:space="preserve">GPO-LEA-10</x:t>
        </x:is>
      </x:c>
      <x:c r="B66" s="5" t="n">
        <x:v>62</x:v>
      </x:c>
      <x:c r="C66" s="5" t="inlineStr">
        <x:is>
          <x:t xml:space="preserve">Learning &amp; Tutoring</x:t>
        </x:is>
      </x:c>
      <x:c r="D66" s="5" t="inlineStr">
        <x:is>
          <x:t xml:space="preserve">Grow</x:t>
        </x:is>
      </x:c>
      <x:c r="E66" s="5" t="inlineStr">
        <x:is>
          <x:t xml:space="preserve">Core 150</x:t>
        </x:is>
      </x:c>
      <x:c r="F66" s="5" t="n">
        <x:v>10</x:v>
      </x:c>
      <x:c r="G66" s="5" t="inlineStr">
        <x:is>
          <x:t xml:space="preserve">Make me practice problems for {topic} from easy to brutal.</x:t>
        </x:is>
      </x:c>
      <x:c r="H66" s="6" t="n">
        <x:v>64</x:v>
      </x:c>
      <x:c r="I66" s="6" t="n">
        <x:v>64</x:v>
      </x:c>
      <x:c r="J66" s="7" t="n">
        <x:v>83</x:v>
      </x:c>
      <x:c r="K66" s="7" t="n">
        <x:v>73</x:v>
      </x:c>
      <x:c r="L66" s="8" t="inlineStr">
        <x:is>
          <x:t xml:space="preserve">UNTESTED</x:t>
        </x:is>
      </x:c>
      <x:c r="M66" s="9" t="inlineStr">
        <x:is>
          <x:t xml:space="preserve">UNTESTED</x:t>
        </x:is>
      </x:c>
      <x:c r="N66" s="5" t="inlineStr">
        <x:is>
          <x:t xml:space="preserve">adaptive tutoring; curriculum planning; quiz generation; context retention</x:t>
        </x:is>
      </x:c>
      <x:c r="O66" s="5" t="inlineStr">
        <x:is>
          <x:t xml:space="preserve">Low</x:t>
        </x:is>
      </x:c>
      <x:c r="P66" s="5" t="inlineStr">
        <x:is>
          <x:t xml:space="preserve">High</x:t>
        </x:is>
      </x:c>
      <x:c r="Q66" s="5" t="inlineStr">
        <x:is>
          <x:t xml:space="preserve">Low</x:t>
        </x:is>
      </x:c>
      <x:c r="R66" s="5" t="inlineStr">
        <x:is>
          <x:t xml:space="preserve">Low</x:t>
        </x:is>
      </x:c>
      <x:c r="S66" s="5" t="inlineStr">
        <x:is>
          <x:t xml:space="preserve">Low</x:t>
        </x:is>
      </x:c>
      <x:c r="T66" s="5" t="inlineStr">
        <x:is>
          <x:t xml:space="preserve">ChatGPT primary</x:t>
        </x:is>
      </x:c>
      <x:c r="U66" s="5" t="inlineStr">
        <x:is>
          <x:t xml:space="preserve">Easy</x:t>
        </x:is>
      </x:c>
      <x:c r="V66" s="10" t="n">
        <x:v>1</x:v>
      </x:c>
      <x:c r="W66" s="5" t="inlineStr">
        <x:is>
          <x:t xml:space="preserve">Interactive tutoring session + quality review</x:t>
        </x:is>
      </x:c>
      <x:c r="X66" s="5" t="inlineStr">
        <x:is>
          <x:t xml:space="preserve">lesson / plan / quiz / explanation</x:t>
        </x:is>
      </x:c>
      <x:c r="Y66" s="5" t="inlineStr">
        <x:is>
          <x:t xml:space="preserve">Teaching is accurate, adaptive, and improves understanding rather than over-answering.</x:t>
        </x:is>
      </x:c>
      <x:c r="Z66" s="5" t="inlineStr">
        <x:is>
          <x:t xml:space="preserve">Wrong explanations, over-helping, no adaptation, or generic curriculum.</x:t>
        </x:is>
      </x:c>
      <x:c r="AA66" s="5" t="inlineStr">
        <x:is>
          <x:t xml:space="preserve">tutor mode / memory / scaffolding logic</x:t>
        </x:is>
      </x:c>
      <x:c r="AB66" s="5" t="inlineStr">
        <x:is>
          <x:t xml:space="preserve"/>
        </x:is>
      </x:c>
      <x:c r="AC66" s="5" t="inlineStr">
        <x:is>
          <x:t xml:space="preserve">OpenAI practical guidance includes tutoring; HEPI 2025 says 88% of students use GenAI for assessments, often to explain concepts and summarize articles.</x:t>
        </x:is>
      </x:c>
      <x:c r="AD66" s="5" t="inlineStr">
        <x:is>
          <x:t xml:space="preserve">OpenAI How People Use ChatGPT paper; HEPI Student Generative AI Survey 2025; Brookings 2026 tutoring article</x:t>
        </x:is>
      </x:c>
      <x:c r="AE66" s="11">
        <x:f>IF(O66="High",20,IF(O66="Medium",10,IF(O66="Low",5,0)))+IF(P66="High",20,IF(P66="Medium",10,IF(P66="Low",5,0)))+IF(Q66="High",20,IF(Q66="Medium",10,IF(Q66="Low",5,0)))+IF(R66="High",20,IF(R66="Medium",10,IF(R66="Low",5,0)))+IF(S66="High",20,IF(S66="Medium",10,IF(S66="Low",5,0)))</x:f>
        <x:v>40</x:v>
      </x:c>
      <x:c r="AF66" s="12">
        <x:f>ROUND(H66*0.30+J66*0.25+K66*0.20+(100-AE66)*0.10+(100-(V66*20))*0.15,0)</x:f>
        <x:v>73</x:v>
      </x:c>
      <x:c r="AG66" s="13" t="str">
        <x:f>IF(AF66&gt;=80,"Batch 1",IF(AF66&gt;=70,"Batch 2",IF(AF66&gt;=60,"Batch 3","Backlog")))</x:f>
        <x:v>Batch 2</x:v>
      </x:c>
      <x:c r="AH66" t="inlineStr">
        <x:is>
          <x:t xml:space="preserve"/>
        </x:is>
      </x:c>
    </x:row>
    <x:row r="67">
      <x:c r="A67" s="5" t="inlineStr">
        <x:is>
          <x:t xml:space="preserve">GPO-STA-01</x:t>
        </x:is>
      </x:c>
      <x:c r="B67" s="5" t="n">
        <x:v>63</x:v>
      </x:c>
      <x:c r="C67" s="5" t="inlineStr">
        <x:is>
          <x:t xml:space="preserve">Startup &amp; Business Builder</x:t>
        </x:is>
      </x:c>
      <x:c r="D67" s="5" t="inlineStr">
        <x:is>
          <x:t xml:space="preserve">Build</x:t>
        </x:is>
      </x:c>
      <x:c r="E67" s="5" t="inlineStr">
        <x:is>
          <x:t xml:space="preserve">Core 150</x:t>
        </x:is>
      </x:c>
      <x:c r="F67" s="5" t="n">
        <x:v>1</x:v>
      </x:c>
      <x:c r="G67" s="5" t="inlineStr">
        <x:is>
          <x:t xml:space="preserve">Pressure-test this startup idea for market need, distribution, and durability.</x:t>
        </x:is>
      </x:c>
      <x:c r="H67" s="6" t="n">
        <x:v>66</x:v>
      </x:c>
      <x:c r="I67" s="6" t="n">
        <x:v>66</x:v>
      </x:c>
      <x:c r="J67" s="7" t="n">
        <x:v>80</x:v>
      </x:c>
      <x:c r="K67" s="7" t="n">
        <x:v>72</x:v>
      </x:c>
      <x:c r="L67" s="8" t="inlineStr">
        <x:is>
          <x:t xml:space="preserve">UNTESTED</x:t>
        </x:is>
      </x:c>
      <x:c r="M67" s="9" t="inlineStr">
        <x:is>
          <x:t xml:space="preserve">UNTESTED</x:t>
        </x:is>
      </x:c>
      <x:c r="N67" s="5" t="inlineStr">
        <x:is>
          <x:t xml:space="preserve">strategy; product thinking; GTM reasoning; structured planning</x:t>
        </x:is>
      </x:c>
      <x:c r="O67" s="5" t="inlineStr">
        <x:is>
          <x:t xml:space="preserve">Medium</x:t>
        </x:is>
      </x:c>
      <x:c r="P67" s="5" t="inlineStr">
        <x:is>
          <x:t xml:space="preserve">High</x:t>
        </x:is>
      </x:c>
      <x:c r="Q67" s="5" t="inlineStr">
        <x:is>
          <x:t xml:space="preserve">Low</x:t>
        </x:is>
      </x:c>
      <x:c r="R67" s="5" t="inlineStr">
        <x:is>
          <x:t xml:space="preserve">Medium</x:t>
        </x:is>
      </x:c>
      <x:c r="S67" s="5" t="inlineStr">
        <x:is>
          <x:t xml:space="preserve">Low</x:t>
        </x:is>
      </x:c>
      <x:c r="T67" s="5" t="inlineStr">
        <x:is>
          <x:t xml:space="preserve">Claude + ChatGPT combo</x:t>
        </x:is>
      </x:c>
      <x:c r="U67" s="5" t="inlineStr">
        <x:is>
          <x:t xml:space="preserve">Easy</x:t>
        </x:is>
      </x:c>
      <x:c r="V67" s="10" t="n">
        <x:v>1</x:v>
      </x:c>
      <x:c r="W67" s="5" t="inlineStr">
        <x:is>
          <x:t xml:space="preserve">Plan generation + critique + strategic review</x:t>
        </x:is>
      </x:c>
      <x:c r="X67" s="5" t="inlineStr">
        <x:is>
          <x:t xml:space="preserve">roadmap / GTM plan / business memo</x:t>
        </x:is>
      </x:c>
      <x:c r="Y67" s="5" t="inlineStr">
        <x:is>
          <x:t xml:space="preserve">Recommendation is strategically sharp, prioritized, and grounded in market reality.</x:t>
        </x:is>
      </x:c>
      <x:c r="Z67" s="5" t="inlineStr">
        <x:is>
          <x:t xml:space="preserve">Buzzwordy output, no wedge, weak prioritization, or unearned confidence.</x:t>
        </x:is>
      </x:c>
      <x:c r="AA67" s="5" t="inlineStr">
        <x:is>
          <x:t xml:space="preserve">strategy templates / board logic / critique loop</x:t>
        </x:is>
      </x:c>
      <x:c r="AB67" s="5" t="inlineStr">
        <x:is>
          <x:t xml:space="preserve"/>
        </x:is>
      </x:c>
      <x:c r="AC67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67" s="5" t="inlineStr">
        <x:is>
          <x:t xml:space="preserve">OpenAI How People Use ChatGPT paper; Menlo State of Consumer AI 2025; Menlo AI UI Problem 2025</x:t>
        </x:is>
      </x:c>
      <x:c r="AE67" s="11">
        <x:f>IF(O67="High",20,IF(O67="Medium",10,IF(O67="Low",5,0)))+IF(P67="High",20,IF(P67="Medium",10,IF(P67="Low",5,0)))+IF(Q67="High",20,IF(Q67="Medium",10,IF(Q67="Low",5,0)))+IF(R67="High",20,IF(R67="Medium",10,IF(R67="Low",5,0)))+IF(S67="High",20,IF(S67="Medium",10,IF(S67="Low",5,0)))</x:f>
        <x:v>50</x:v>
      </x:c>
      <x:c r="AF67" s="12">
        <x:f>ROUND(H67*0.30+J67*0.25+K67*0.20+(100-AE67)*0.10+(100-(V67*20))*0.15,0)</x:f>
        <x:v>71</x:v>
      </x:c>
      <x:c r="AG67" s="13" t="str">
        <x:f>IF(AF67&gt;=80,"Batch 1",IF(AF67&gt;=70,"Batch 2",IF(AF67&gt;=60,"Batch 3","Backlog")))</x:f>
        <x:v>Batch 2</x:v>
      </x:c>
      <x:c r="AH67" t="inlineStr">
        <x:is>
          <x:t xml:space="preserve"/>
        </x:is>
      </x:c>
    </x:row>
    <x:row r="68">
      <x:c r="A68" s="5" t="inlineStr">
        <x:is>
          <x:t xml:space="preserve">GPO-SHO-06</x:t>
        </x:is>
      </x:c>
      <x:c r="B68" s="5" t="n">
        <x:v>64</x:v>
      </x:c>
      <x:c r="C68" s="5" t="inlineStr">
        <x:is>
          <x:t xml:space="preserve">Shopping &amp; Buying Advisor</x:t>
        </x:is>
      </x:c>
      <x:c r="D68" s="5" t="inlineStr">
        <x:is>
          <x:t xml:space="preserve">Buy</x:t>
        </x:is>
      </x:c>
      <x:c r="E68" s="5" t="inlineStr">
        <x:is>
          <x:t xml:space="preserve">Core 150</x:t>
        </x:is>
      </x:c>
      <x:c r="F68" s="5" t="n">
        <x:v>6</x:v>
      </x:c>
      <x:c r="G68" s="5" t="inlineStr">
        <x:is>
          <x:t xml:space="preserve">Find the cheapest smart way to buy web app without getting burned.</x:t>
        </x:is>
      </x:c>
      <x:c r="H68" s="6" t="n">
        <x:v>65</x:v>
      </x:c>
      <x:c r="I68" s="6" t="n">
        <x:v>65</x:v>
      </x:c>
      <x:c r="J68" s="7" t="n">
        <x:v>81</x:v>
      </x:c>
      <x:c r="K68" s="7" t="n">
        <x:v>72</x:v>
      </x:c>
      <x:c r="L68" s="8" t="inlineStr">
        <x:is>
          <x:t xml:space="preserve">UNTESTED</x:t>
        </x:is>
      </x:c>
      <x:c r="M68" s="9" t="inlineStr">
        <x:is>
          <x:t xml:space="preserve">UNTESTED</x:t>
        </x:is>
      </x:c>
      <x:c r="N68" s="5" t="inlineStr">
        <x:is>
          <x:t xml:space="preserve">web/product research; comparison; price-value reasoning; shortlist generation</x:t>
        </x:is>
      </x:c>
      <x:c r="O68" s="5" t="inlineStr">
        <x:is>
          <x:t xml:space="preserve">High</x:t>
        </x:is>
      </x:c>
      <x:c r="P68" s="5" t="inlineStr">
        <x:is>
          <x:t xml:space="preserve">Medium</x:t>
        </x:is>
      </x:c>
      <x:c r="Q68" s="5" t="inlineStr">
        <x:is>
          <x:t xml:space="preserve">Medium</x:t>
        </x:is>
      </x:c>
      <x:c r="R68" s="5" t="inlineStr">
        <x:is>
          <x:t xml:space="preserve">Low</x:t>
        </x:is>
      </x:c>
      <x:c r="S68" s="5" t="inlineStr">
        <x:is>
          <x:t xml:space="preserve">Low</x:t>
        </x:is>
      </x:c>
      <x:c r="T68" s="5" t="inlineStr">
        <x:is>
          <x:t xml:space="preserve">ChatGPT with web</x:t>
        </x:is>
      </x:c>
      <x:c r="U68" s="5" t="inlineStr">
        <x:is>
          <x:t xml:space="preserve">Easy</x:t>
        </x:is>
      </x:c>
      <x:c r="V68" s="10" t="n">
        <x:v>1</x:v>
      </x:c>
      <x:c r="W68" s="5" t="inlineStr">
        <x:is>
          <x:t xml:space="preserve">Live shopping query + recommendation validation</x:t>
        </x:is>
      </x:c>
      <x:c r="X68" s="5" t="inlineStr">
        <x:is>
          <x:t xml:space="preserve">shortlist / recommendation / comparison / cart plan</x:t>
        </x:is>
      </x:c>
      <x:c r="Y68" s="5" t="inlineStr">
        <x:is>
          <x:t xml:space="preserve">Recommendation fits constraints and explains tradeoffs clearly.</x:t>
        </x:is>
      </x:c>
      <x:c r="Z68" s="5" t="inlineStr">
        <x:is>
          <x:t xml:space="preserve">Outdated products, poor fit, missed constraints, or shallow comparison.</x:t>
        </x:is>
      </x:c>
      <x:c r="AA68" s="5" t="inlineStr">
        <x:is>
          <x:t xml:space="preserve">web/product retrieval / comparison template / user preference memory</x:t>
        </x:is>
      </x:c>
      <x:c r="AB68" s="5" t="inlineStr">
        <x:is>
          <x:t xml:space="preserve"/>
        </x:is>
      </x:c>
      <x:c r="AC68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68" s="5" t="inlineStr">
        <x:is>
          <x:t xml:space="preserve">Deloitte Connected Consumer 2025; Salesforce Connected Shopper 2025; IAB 2025 shopping study</x:t>
        </x:is>
      </x:c>
      <x:c r="AE68" s="11">
        <x:f>IF(O68="High",20,IF(O68="Medium",10,IF(O68="Low",5,0)))+IF(P68="High",20,IF(P68="Medium",10,IF(P68="Low",5,0)))+IF(Q68="High",20,IF(Q68="Medium",10,IF(Q68="Low",5,0)))+IF(R68="High",20,IF(R68="Medium",10,IF(R68="Low",5,0)))+IF(S68="High",20,IF(S68="Medium",10,IF(S68="Low",5,0)))</x:f>
        <x:v>50</x:v>
      </x:c>
      <x:c r="AF68" s="12">
        <x:f>ROUND(H68*0.30+J68*0.25+K68*0.20+(100-AE68)*0.10+(100-(V68*20))*0.15,0)</x:f>
        <x:v>71</x:v>
      </x:c>
      <x:c r="AG68" s="13" t="str">
        <x:f>IF(AF68&gt;=80,"Batch 1",IF(AF68&gt;=70,"Batch 2",IF(AF68&gt;=60,"Batch 3","Backlog")))</x:f>
        <x:v>Batch 2</x:v>
      </x:c>
      <x:c r="AH68" t="inlineStr">
        <x:is>
          <x:t xml:space="preserve"/>
        </x:is>
      </x:c>
    </x:row>
    <x:row r="69">
      <x:c r="A69" s="5" t="inlineStr">
        <x:is>
          <x:t xml:space="preserve">GPO-COD-13</x:t>
        </x:is>
      </x:c>
      <x:c r="B69" s="5" t="n">
        <x:v>65</x:v>
      </x:c>
      <x:c r="C69" s="5" t="inlineStr">
        <x:is>
          <x:t xml:space="preserve">Code &amp; Product Engineering</x:t>
        </x:is>
      </x:c>
      <x:c r="D69" s="5" t="inlineStr">
        <x:is>
          <x:t xml:space="preserve">Build</x:t>
        </x:is>
      </x:c>
      <x:c r="E69" s="5" t="inlineStr">
        <x:is>
          <x:t xml:space="preserve">Expansion 150</x:t>
        </x:is>
      </x:c>
      <x:c r="F69" s="5" t="n">
        <x:v>13</x:v>
      </x:c>
      <x:c r="G69" s="5" t="inlineStr">
        <x:is>
          <x:t xml:space="preserve">Optimize this SQL/Spark/Hive pipeline for cost and runtime without changing output.</x:t>
        </x:is>
      </x:c>
      <x:c r="H69" s="6" t="n">
        <x:v>64</x:v>
      </x:c>
      <x:c r="I69" s="6" t="n">
        <x:v>64</x:v>
      </x:c>
      <x:c r="J69" s="7" t="n">
        <x:v>82</x:v>
      </x:c>
      <x:c r="K69" s="7" t="n">
        <x:v>72</x:v>
      </x:c>
      <x:c r="L69" s="8" t="inlineStr">
        <x:is>
          <x:t xml:space="preserve">UNTESTED</x:t>
        </x:is>
      </x:c>
      <x:c r="M69" s="9" t="inlineStr">
        <x:is>
          <x:t xml:space="preserve">UNTESTED</x:t>
        </x:is>
      </x:c>
      <x:c r="N69" s="5" t="inlineStr">
        <x:is>
          <x:t xml:space="preserve">routing; code reasoning; repo context; file edit; test execution; structured output</x:t>
        </x:is>
      </x:c>
      <x:c r="O69" s="5" t="inlineStr">
        <x:is>
          <x:t xml:space="preserve">No</x:t>
        </x:is>
      </x:c>
      <x:c r="P69" s="5" t="inlineStr">
        <x:is>
          <x:t xml:space="preserve">Medium</x:t>
        </x:is>
      </x:c>
      <x:c r="Q69" s="5" t="inlineStr">
        <x:is>
          <x:t xml:space="preserve">High</x:t>
        </x:is>
      </x:c>
      <x:c r="R69" s="5" t="inlineStr">
        <x:is>
          <x:t xml:space="preserve">Medium</x:t>
        </x:is>
      </x:c>
      <x:c r="S69" s="5" t="inlineStr">
        <x:is>
          <x:t xml:space="preserve">Low</x:t>
        </x:is>
      </x:c>
      <x:c r="T69" s="5" t="inlineStr">
        <x:is>
          <x:t xml:space="preserve">Claude Code primary; ChatGPT critique; web optional</x:t>
        </x:is>
      </x:c>
      <x:c r="U69" s="5" t="inlineStr">
        <x:is>
          <x:t xml:space="preserve">Easy</x:t>
        </x:is>
      </x:c>
      <x:c r="V69" s="10" t="n">
        <x:v>1</x:v>
      </x:c>
      <x:c r="W69" s="5" t="inlineStr">
        <x:is>
          <x:t xml:space="preserve">Live execution + code diff + output review</x:t>
        </x:is>
      </x:c>
      <x:c r="X69" s="5" t="inlineStr">
        <x:is>
          <x:t xml:space="preserve">code patch / spec / architecture / debug report</x:t>
        </x:is>
      </x:c>
      <x:c r="Y69" s="5" t="inlineStr">
        <x:is>
          <x:t xml:space="preserve">Produces correct technical plan or working code without breaking current behavior.</x:t>
        </x:is>
      </x:c>
      <x:c r="Z69" s="5" t="inlineStr">
        <x:is>
          <x:t xml:space="preserve">Hallucinated codebase facts, unsafe refactor, broken tests, or vague technical output.</x:t>
        </x:is>
      </x:c>
      <x:c r="AA69" s="5" t="inlineStr">
        <x:is>
          <x:t xml:space="preserve">routing / tool wiring / repo context / codegen guardrails</x:t>
        </x:is>
      </x:c>
      <x:c r="AB69" s="5" t="inlineStr">
        <x:is>
          <x:t xml:space="preserve"/>
        </x:is>
      </x:c>
      <x:c r="AC69" s="5" t="inlineStr">
        <x:is>
          <x:t xml:space="preserve">OpenAI/common use: writing+coding; Menlo enterprise coding is 55% of departmental AI spend; Deloitte top app: work assistance.</x:t>
        </x:is>
      </x:c>
      <x:c r="AD69" s="5" t="inlineStr">
        <x:is>
          <x:t xml:space="preserve">OpenAI GPT-5 / How People Use ChatGPT; Menlo State of GenAI in Enterprise 2025; Deloitte Connected Consumer 2025</x:t>
        </x:is>
      </x:c>
      <x:c r="AE69" s="11">
        <x:f>IF(O69="High",20,IF(O69="Medium",10,IF(O69="Low",5,0)))+IF(P69="High",20,IF(P69="Medium",10,IF(P69="Low",5,0)))+IF(Q69="High",20,IF(Q69="Medium",10,IF(Q69="Low",5,0)))+IF(R69="High",20,IF(R69="Medium",10,IF(R69="Low",5,0)))+IF(S69="High",20,IF(S69="Medium",10,IF(S69="Low",5,0)))</x:f>
        <x:v>45</x:v>
      </x:c>
      <x:c r="AF69" s="12">
        <x:f>ROUND(H69*0.30+J69*0.25+K69*0.20+(100-AE69)*0.10+(100-(V69*20))*0.15,0)</x:f>
        <x:v>72</x:v>
      </x:c>
      <x:c r="AG69" s="13" t="str">
        <x:f>IF(AF69&gt;=80,"Batch 1",IF(AF69&gt;=70,"Batch 2",IF(AF69&gt;=60,"Batch 3","Backlog")))</x:f>
        <x:v>Batch 2</x:v>
      </x:c>
      <x:c r="AH69" t="inlineStr">
        <x:is>
          <x:t xml:space="preserve"/>
        </x:is>
      </x:c>
    </x:row>
    <x:row r="70">
      <x:c r="A70" s="5" t="inlineStr">
        <x:is>
          <x:t xml:space="preserve">GPO-SCH-08</x:t>
        </x:is>
      </x:c>
      <x:c r="B70" s="5" t="n">
        <x:v>66</x:v>
      </x:c>
      <x:c r="C70" s="5" t="inlineStr">
        <x:is>
          <x:t xml:space="preserve">Scheduling &amp; Life Operations</x:t>
        </x:is>
      </x:c>
      <x:c r="D70" s="5" t="inlineStr">
        <x:is>
          <x:t xml:space="preserve">Operate</x:t>
        </x:is>
      </x:c>
      <x:c r="E70" s="5" t="inlineStr">
        <x:is>
          <x:t xml:space="preserve">Core 150</x:t>
        </x:is>
      </x:c>
      <x:c r="F70" s="5" t="n">
        <x:v>8</x:v>
      </x:c>
      <x:c r="G70" s="5" t="inlineStr">
        <x:is>
          <x:t xml:space="preserve">Take these calendar constraints and find the best time blocks for deep work.</x:t>
        </x:is>
      </x:c>
      <x:c r="H70" s="6" t="n">
        <x:v>65</x:v>
      </x:c>
      <x:c r="I70" s="6" t="n">
        <x:v>65</x:v>
      </x:c>
      <x:c r="J70" s="7" t="n">
        <x:v>80</x:v>
      </x:c>
      <x:c r="K70" s="7" t="n">
        <x:v>72</x:v>
      </x:c>
      <x:c r="L70" s="8" t="inlineStr">
        <x:is>
          <x:t xml:space="preserve">UNTESTED</x:t>
        </x:is>
      </x:c>
      <x:c r="M70" s="9" t="inlineStr">
        <x:is>
          <x:t xml:space="preserve">UNTESTED</x:t>
        </x:is>
      </x:c>
      <x:c r="N70" s="5" t="inlineStr">
        <x:is>
          <x:t xml:space="preserve">task planning; prioritization; calendar reasoning; personal constraints handling</x:t>
        </x:is>
      </x:c>
      <x:c r="O70" s="5" t="inlineStr">
        <x:is>
          <x:t xml:space="preserve">Low</x:t>
        </x:is>
      </x:c>
      <x:c r="P70" s="5" t="inlineStr">
        <x:is>
          <x:t xml:space="preserve">High</x:t>
        </x:is>
      </x:c>
      <x:c r="Q70" s="5" t="inlineStr">
        <x:is>
          <x:t xml:space="preserve">Medium</x:t>
        </x:is>
      </x:c>
      <x:c r="R70" s="5" t="inlineStr">
        <x:is>
          <x:t xml:space="preserve">Low</x:t>
        </x:is>
      </x:c>
      <x:c r="S70" s="5" t="inlineStr">
        <x:is>
          <x:t xml:space="preserve">Low</x:t>
        </x:is>
      </x:c>
      <x:c r="T70" s="5" t="inlineStr">
        <x:is>
          <x:t xml:space="preserve">ChatGPT primary; calendar integrations later</x:t>
        </x:is>
      </x:c>
      <x:c r="U70" s="5" t="inlineStr">
        <x:is>
          <x:t xml:space="preserve">Easy</x:t>
        </x:is>
      </x:c>
      <x:c r="V70" s="10" t="n">
        <x:v>1</x:v>
      </x:c>
      <x:c r="W70" s="5" t="inlineStr">
        <x:is>
          <x:t xml:space="preserve">Scenario-based planning + operator utility review</x:t>
        </x:is>
      </x:c>
      <x:c r="X70" s="5" t="inlineStr">
        <x:is>
          <x:t xml:space="preserve">schedule / checklist / operating plan</x:t>
        </x:is>
      </x:c>
      <x:c r="Y70" s="5" t="inlineStr">
        <x:is>
          <x:t xml:space="preserve">Plan is realistic, prioritized, and executable under stated constraints.</x:t>
        </x:is>
      </x:c>
      <x:c r="Z70" s="5" t="inlineStr">
        <x:is>
          <x:t xml:space="preserve">Overpacked schedule, ignored constraints, or vague next steps.</x:t>
        </x:is>
      </x:c>
      <x:c r="AA70" s="5" t="inlineStr">
        <x:is>
          <x:t xml:space="preserve">planner engine / memory / calendar-tool integration</x:t>
        </x:is>
      </x:c>
      <x:c r="AB70" s="5" t="inlineStr">
        <x:is>
          <x:t xml:space="preserve"/>
        </x:is>
      </x:c>
      <x:c r="AC70" s="5" t="inlineStr">
        <x:is>
          <x:t xml:space="preserve">Menlo consumer AI: 18% use AI to manage to-do lists and 15% to organize notes; Zao-Sanders ranked 'Organise my life' #2.</x:t>
        </x:is>
      </x:c>
      <x:c r="AD70" s="5" t="inlineStr">
        <x:is>
          <x:t xml:space="preserve">Menlo State of Consumer AI 2025; Zao-Sanders Top-100 GenAI Use Cases 2025</x:t>
        </x:is>
      </x:c>
      <x:c r="AE70" s="11">
        <x:f>IF(O70="High",20,IF(O70="Medium",10,IF(O70="Low",5,0)))+IF(P70="High",20,IF(P70="Medium",10,IF(P70="Low",5,0)))+IF(Q70="High",20,IF(Q70="Medium",10,IF(Q70="Low",5,0)))+IF(R70="High",20,IF(R70="Medium",10,IF(R70="Low",5,0)))+IF(S70="High",20,IF(S70="Medium",10,IF(S70="Low",5,0)))</x:f>
        <x:v>45</x:v>
      </x:c>
      <x:c r="AF70" s="12">
        <x:f>ROUND(H70*0.30+J70*0.25+K70*0.20+(100-AE70)*0.10+(100-(V70*20))*0.15,0)</x:f>
        <x:v>71</x:v>
      </x:c>
      <x:c r="AG70" s="13" t="str">
        <x:f>IF(AF70&gt;=80,"Batch 1",IF(AF70&gt;=70,"Batch 2",IF(AF70&gt;=60,"Batch 3","Backlog")))</x:f>
        <x:v>Batch 2</x:v>
      </x:c>
      <x:c r="AH70" t="inlineStr">
        <x:is>
          <x:t xml:space="preserve"/>
        </x:is>
      </x:c>
    </x:row>
    <x:row r="71">
      <x:c r="A71" s="5" t="inlineStr">
        <x:is>
          <x:t xml:space="preserve">GPO-CAR-02</x:t>
        </x:is>
      </x:c>
      <x:c r="B71" s="5" t="n">
        <x:v>67</x:v>
      </x:c>
      <x:c r="C71" s="5" t="inlineStr">
        <x:is>
          <x:t xml:space="preserve">Career &amp; Job Search</x:t>
        </x:is>
      </x:c>
      <x:c r="D71" s="5" t="inlineStr">
        <x:is>
          <x:t xml:space="preserve">Advance</x:t>
        </x:is>
      </x:c>
      <x:c r="E71" s="5" t="inlineStr">
        <x:is>
          <x:t xml:space="preserve">Core 150</x:t>
        </x:is>
      </x:c>
      <x:c r="F71" s="5" t="n">
        <x:v>2</x:v>
      </x:c>
      <x:c r="G71" s="5" t="inlineStr">
        <x:is>
          <x:t xml:space="preserve">Tailor my LinkedIn profile so recruiters for this role actually respond.</x:t>
        </x:is>
      </x:c>
      <x:c r="H71" s="6" t="n">
        <x:v>63</x:v>
      </x:c>
      <x:c r="I71" s="6" t="n">
        <x:v>63</x:v>
      </x:c>
      <x:c r="J71" s="7" t="n">
        <x:v>83</x:v>
      </x:c>
      <x:c r="K71" s="7" t="n">
        <x:v>72</x:v>
      </x:c>
      <x:c r="L71" s="8" t="inlineStr">
        <x:is>
          <x:t xml:space="preserve">UNTESTED</x:t>
        </x:is>
      </x:c>
      <x:c r="M71" s="9" t="inlineStr">
        <x:is>
          <x:t xml:space="preserve">UNTESTED</x:t>
        </x:is>
      </x:c>
      <x:c r="N71" s="5" t="inlineStr">
        <x:is>
          <x:t xml:space="preserve">resume tailoring; interview prep; role mapping; narrative building</x:t>
        </x:is>
      </x:c>
      <x:c r="O71" s="5" t="inlineStr">
        <x:is>
          <x:t xml:space="preserve">Medium</x:t>
        </x:is>
      </x:c>
      <x:c r="P71" s="5" t="inlineStr">
        <x:is>
          <x:t xml:space="preserve">High</x:t>
        </x:is>
      </x:c>
      <x:c r="Q71" s="5" t="inlineStr">
        <x:is>
          <x:t xml:space="preserve">Low</x:t>
        </x:is>
      </x:c>
      <x:c r="R71" s="5" t="inlineStr">
        <x:is>
          <x:t xml:space="preserve">Low</x:t>
        </x:is>
      </x:c>
      <x:c r="S71" s="5" t="inlineStr">
        <x:is>
          <x:t xml:space="preserve">Low</x:t>
        </x:is>
      </x:c>
      <x:c r="T71" s="5" t="inlineStr">
        <x:is>
          <x:t xml:space="preserve">ChatGPT primary</x:t>
        </x:is>
      </x:c>
      <x:c r="U71" s="5" t="inlineStr">
        <x:is>
          <x:t xml:space="preserve">Easy</x:t>
        </x:is>
      </x:c>
      <x:c r="V71" s="10" t="n">
        <x:v>1</x:v>
      </x:c>
      <x:c r="W71" s="5" t="inlineStr">
        <x:is>
          <x:t xml:space="preserve">Artifact review + mock interview + targeting review</x:t>
        </x:is>
      </x:c>
      <x:c r="X71" s="5" t="inlineStr">
        <x:is>
          <x:t xml:space="preserve">resume / prep plan / outreach / strategy memo</x:t>
        </x:is>
      </x:c>
      <x:c r="Y71" s="5" t="inlineStr">
        <x:is>
          <x:t xml:space="preserve">Career outputs are specific, credible, and materially improve positioning.</x:t>
        </x:is>
      </x:c>
      <x:c r="Z71" s="5" t="inlineStr">
        <x:is>
          <x:t xml:space="preserve">Generic resume language, fake-sounding stories, or weak role fit.</x:t>
        </x:is>
      </x:c>
      <x:c r="AA71" s="5" t="inlineStr">
        <x:is>
          <x:t xml:space="preserve">career templates / memory / ATS-aware output logic</x:t>
        </x:is>
      </x:c>
      <x:c r="AB71" s="5" t="inlineStr">
        <x:is>
          <x:t xml:space="preserve"/>
        </x:is>
      </x:c>
      <x:c r="AC71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71" s="5" t="inlineStr">
        <x:is>
          <x:t xml:space="preserve">Insight Global AI in Hiring Report 2025; NACE student survey 2025/2026</x:t>
        </x:is>
      </x:c>
      <x:c r="AE71" s="11">
        <x:f>IF(O71="High",20,IF(O71="Medium",10,IF(O71="Low",5,0)))+IF(P71="High",20,IF(P71="Medium",10,IF(P71="Low",5,0)))+IF(Q71="High",20,IF(Q71="Medium",10,IF(Q71="Low",5,0)))+IF(R71="High",20,IF(R71="Medium",10,IF(R71="Low",5,0)))+IF(S71="High",20,IF(S71="Medium",10,IF(S71="Low",5,0)))</x:f>
        <x:v>45</x:v>
      </x:c>
      <x:c r="AF71" s="12">
        <x:f>ROUND(H71*0.30+J71*0.25+K71*0.20+(100-AE71)*0.10+(100-(V71*20))*0.15,0)</x:f>
        <x:v>72</x:v>
      </x:c>
      <x:c r="AG71" s="13" t="str">
        <x:f>IF(AF71&gt;=80,"Batch 1",IF(AF71&gt;=70,"Batch 2",IF(AF71&gt;=60,"Batch 3","Backlog")))</x:f>
        <x:v>Batch 2</x:v>
      </x:c>
      <x:c r="AH71" t="inlineStr">
        <x:is>
          <x:t xml:space="preserve"/>
        </x:is>
      </x:c>
    </x:row>
    <x:row r="72">
      <x:c r="A72" s="5" t="inlineStr">
        <x:is>
          <x:t xml:space="preserve">GPO-PER-02</x:t>
        </x:is>
      </x:c>
      <x:c r="B72" s="5" t="n">
        <x:v>68</x:v>
      </x:c>
      <x:c r="C72" s="5" t="inlineStr">
        <x:is>
          <x:t xml:space="preserve">Personal Finance &amp; Investing</x:t>
        </x:is>
      </x:c>
      <x:c r="D72" s="5" t="inlineStr">
        <x:is>
          <x:t xml:space="preserve">Money</x:t>
        </x:is>
      </x:c>
      <x:c r="E72" s="5" t="inlineStr">
        <x:is>
          <x:t xml:space="preserve">Core 150</x:t>
        </x:is>
      </x:c>
      <x:c r="F72" s="5" t="n">
        <x:v>2</x:v>
      </x:c>
      <x:c r="G72" s="5" t="inlineStr">
        <x:is>
          <x:t xml:space="preserve">Create an investing plan for my main goal balancing ETFs, stocks, cash, and risk.</x:t>
        </x:is>
      </x:c>
      <x:c r="H72" s="6" t="n">
        <x:v>67</x:v>
      </x:c>
      <x:c r="I72" s="6" t="n">
        <x:v>67</x:v>
      </x:c>
      <x:c r="J72" s="7" t="n">
        <x:v>77</x:v>
      </x:c>
      <x:c r="K72" s="7" t="n">
        <x:v>72</x:v>
      </x:c>
      <x:c r="L72" s="8" t="inlineStr">
        <x:is>
          <x:t xml:space="preserve">UNTESTED</x:t>
        </x:is>
      </x:c>
      <x:c r="M72" s="9" t="inlineStr">
        <x:is>
          <x:t xml:space="preserve">UNTESTED</x:t>
        </x:is>
      </x:c>
      <x:c r="N72" s="5" t="inlineStr">
        <x:is>
          <x:t xml:space="preserve">scenario modeling; budgeting; portfolio reasoning; decision framing</x:t>
        </x:is>
      </x:c>
      <x:c r="O72" s="5" t="inlineStr">
        <x:is>
          <x:t xml:space="preserve">Medium</x:t>
        </x:is>
      </x:c>
      <x:c r="P72" s="5" t="inlineStr">
        <x:is>
          <x:t xml:space="preserve">High</x:t>
        </x:is>
      </x:c>
      <x:c r="Q72" s="5" t="inlineStr">
        <x:is>
          <x:t xml:space="preserve">Medium</x:t>
        </x:is>
      </x:c>
      <x:c r="R72" s="5" t="inlineStr">
        <x:is>
          <x:t xml:space="preserve">Low</x:t>
        </x:is>
      </x:c>
      <x:c r="S72" s="5" t="inlineStr">
        <x:is>
          <x:t xml:space="preserve">Medium</x:t>
        </x:is>
      </x:c>
      <x:c r="T72" s="5" t="inlineStr">
        <x:is>
          <x:t xml:space="preserve">ChatGPT or Claude with spreadsheet support</x:t>
        </x:is>
      </x:c>
      <x:c r="U72" s="5" t="inlineStr">
        <x:is>
          <x:t xml:space="preserve">Easy</x:t>
        </x:is>
      </x:c>
      <x:c r="V72" s="10" t="n">
        <x:v>1</x:v>
      </x:c>
      <x:c r="W72" s="5" t="inlineStr">
        <x:is>
          <x:t xml:space="preserve">Scenario modeling + coherence review</x:t>
        </x:is>
      </x:c>
      <x:c r="X72" s="5" t="inlineStr">
        <x:is>
          <x:t xml:space="preserve">budget / model / plan / recommendation</x:t>
        </x:is>
      </x:c>
      <x:c r="Y72" s="5" t="inlineStr">
        <x:is>
          <x:t xml:space="preserve">Advice is numerically coherent, practical, and transparent about assumptions.</x:t>
        </x:is>
      </x:c>
      <x:c r="Z72" s="5" t="inlineStr">
        <x:is>
          <x:t xml:space="preserve">Bad math, missing assumptions, or overconfident investment guidance.</x:t>
        </x:is>
      </x:c>
      <x:c r="AA72" s="5" t="inlineStr">
        <x:is>
          <x:t xml:space="preserve">financial calculator / assumption schema / spreadsheet outputs</x:t>
        </x:is>
      </x:c>
      <x:c r="AB72" s="5" t="inlineStr">
        <x:is>
          <x:t xml:space="preserve"/>
        </x:is>
      </x:c>
      <x:c r="AC72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72" s="5" t="inlineStr">
        <x:is>
          <x:t xml:space="preserve">FNBO Financial Wellbeing Study 2025; NerdWallet/Harris Poll 2026; PlanAdviser 2026</x:t>
        </x:is>
      </x:c>
      <x:c r="AE72" s="11">
        <x:f>IF(O72="High",20,IF(O72="Medium",10,IF(O72="Low",5,0)))+IF(P72="High",20,IF(P72="Medium",10,IF(P72="Low",5,0)))+IF(Q72="High",20,IF(Q72="Medium",10,IF(Q72="Low",5,0)))+IF(R72="High",20,IF(R72="Medium",10,IF(R72="Low",5,0)))+IF(S72="High",20,IF(S72="Medium",10,IF(S72="Low",5,0)))</x:f>
        <x:v>55</x:v>
      </x:c>
      <x:c r="AF72" s="12">
        <x:f>ROUND(H72*0.30+J72*0.25+K72*0.20+(100-AE72)*0.10+(100-(V72*20))*0.15,0)</x:f>
        <x:v>70</x:v>
      </x:c>
      <x:c r="AG72" s="13" t="str">
        <x:f>IF(AF72&gt;=80,"Batch 1",IF(AF72&gt;=70,"Batch 2",IF(AF72&gt;=60,"Batch 3","Backlog")))</x:f>
        <x:v>Batch 2</x:v>
      </x:c>
      <x:c r="AH72" t="inlineStr">
        <x:is>
          <x:t xml:space="preserve"/>
        </x:is>
      </x:c>
    </x:row>
    <x:row r="73">
      <x:c r="A73" s="5" t="inlineStr">
        <x:is>
          <x:t xml:space="preserve">GPO-WRI-13</x:t>
        </x:is>
      </x:c>
      <x:c r="B73" s="5" t="n">
        <x:v>69</x:v>
      </x:c>
      <x:c r="C73" s="5" t="inlineStr">
        <x:is>
          <x:t xml:space="preserve">Writing &amp; Documentation</x:t>
        </x:is>
      </x:c>
      <x:c r="D73" s="5" t="inlineStr">
        <x:is>
          <x:t xml:space="preserve">Create</x:t>
        </x:is>
      </x:c>
      <x:c r="E73" s="5" t="inlineStr">
        <x:is>
          <x:t xml:space="preserve">Expansion 150</x:t>
        </x:is>
      </x:c>
      <x:c r="F73" s="5" t="n">
        <x:v>13</x:v>
      </x:c>
      <x:c r="G73" s="5" t="inlineStr">
        <x:is>
          <x:t xml:space="preserve">Write a research-backed blog/newsletter/article on {topic} in my voice.</x:t>
        </x:is>
      </x:c>
      <x:c r="H73" s="6" t="n">
        <x:v>62</x:v>
      </x:c>
      <x:c r="I73" s="6" t="n">
        <x:v>62</x:v>
      </x:c>
      <x:c r="J73" s="7" t="n">
        <x:v>84</x:v>
      </x:c>
      <x:c r="K73" s="7" t="n">
        <x:v>72</x:v>
      </x:c>
      <x:c r="L73" s="8" t="inlineStr">
        <x:is>
          <x:t xml:space="preserve">UNTESTED</x:t>
        </x:is>
      </x:c>
      <x:c r="M73" s="9" t="inlineStr">
        <x:is>
          <x:t xml:space="preserve">UNTESTED</x:t>
        </x:is>
      </x:c>
      <x:c r="N73" s="5" t="inlineStr">
        <x:is>
          <x:t xml:space="preserve">writing quality; summarization; style control; structured artifacts</x:t>
        </x:is>
      </x:c>
      <x:c r="O73" s="5" t="inlineStr">
        <x:is>
          <x:t xml:space="preserve">Low</x:t>
        </x:is>
      </x:c>
      <x:c r="P73" s="5" t="inlineStr">
        <x:is>
          <x:t xml:space="preserve">Medium</x:t>
        </x:is>
      </x:c>
      <x:c r="Q73" s="5" t="inlineStr">
        <x:is>
          <x:t xml:space="preserve">Low</x:t>
        </x:is>
      </x:c>
      <x:c r="R73" s="5" t="inlineStr">
        <x:is>
          <x:t xml:space="preserve">Low</x:t>
        </x:is>
      </x:c>
      <x:c r="S73" s="5" t="inlineStr">
        <x:is>
          <x:t xml:space="preserve">Low</x:t>
        </x:is>
      </x:c>
      <x:c r="T73" s="5" t="inlineStr">
        <x:is>
          <x:t xml:space="preserve">ChatGPT or Claude; human review optional</x:t>
        </x:is>
      </x:c>
      <x:c r="U73" s="5" t="inlineStr">
        <x:is>
          <x:t xml:space="preserve">Easy</x:t>
        </x:is>
      </x:c>
      <x:c r="V73" s="10" t="n">
        <x:v>1</x:v>
      </x:c>
      <x:c r="W73" s="5" t="inlineStr">
        <x:is>
          <x:t xml:space="preserve">Prompt execution + artifact quality review</x:t>
        </x:is>
      </x:c>
      <x:c r="X73" s="5" t="inlineStr">
        <x:is>
          <x:t xml:space="preserve">doc / memo / email / FAQ / summary</x:t>
        </x:is>
      </x:c>
      <x:c r="Y73" s="5" t="inlineStr">
        <x:is>
          <x:t xml:space="preserve">Output is clear, tailored, structurally sound, and immediately usable.</x:t>
        </x:is>
      </x:c>
      <x:c r="Z73" s="5" t="inlineStr">
        <x:is>
          <x:t xml:space="preserve">Generic tone, missing context, weak structure, or wrong audience level.</x:t>
        </x:is>
      </x:c>
      <x:c r="AA73" s="5" t="inlineStr">
        <x:is>
          <x:t xml:space="preserve">prompt pack / style guidance / output schema</x:t>
        </x:is>
      </x:c>
      <x:c r="AB73" s="5" t="inlineStr">
        <x:is>
          <x:t xml:space="preserve"/>
        </x:is>
      </x:c>
      <x:c r="AC73" s="5" t="inlineStr">
        <x:is>
          <x:t xml:space="preserve">OpenAI usage paper: Writing is in top 3 categories; Menlo consumer AI says 19% use AI to write emails and 18% get writing support.</x:t>
        </x:is>
      </x:c>
      <x:c r="AD73" s="5" t="inlineStr">
        <x:is>
          <x:t xml:space="preserve">OpenAI How People Use ChatGPT paper; Menlo State of Consumer AI 2025</x:t>
        </x:is>
      </x:c>
      <x:c r="AE73" s="11">
        <x:f>IF(O73="High",20,IF(O73="Medium",10,IF(O73="Low",5,0)))+IF(P73="High",20,IF(P73="Medium",10,IF(P73="Low",5,0)))+IF(Q73="High",20,IF(Q73="Medium",10,IF(Q73="Low",5,0)))+IF(R73="High",20,IF(R73="Medium",10,IF(R73="Low",5,0)))+IF(S73="High",20,IF(S73="Medium",10,IF(S73="Low",5,0)))</x:f>
        <x:v>30</x:v>
      </x:c>
      <x:c r="AF73" s="12">
        <x:f>ROUND(H73*0.30+J73*0.25+K73*0.20+(100-AE73)*0.10+(100-(V73*20))*0.15,0)</x:f>
        <x:v>73</x:v>
      </x:c>
      <x:c r="AG73" s="13" t="str">
        <x:f>IF(AF73&gt;=80,"Batch 1",IF(AF73&gt;=70,"Batch 2",IF(AF73&gt;=60,"Batch 3","Backlog")))</x:f>
        <x:v>Batch 2</x:v>
      </x:c>
      <x:c r="AH73" t="inlineStr">
        <x:is>
          <x:t xml:space="preserve"/>
        </x:is>
      </x:c>
    </x:row>
    <x:row r="74">
      <x:c r="A74" s="5" t="inlineStr">
        <x:is>
          <x:t xml:space="preserve">GPO-STA-02</x:t>
        </x:is>
      </x:c>
      <x:c r="B74" s="5" t="n">
        <x:v>70</x:v>
      </x:c>
      <x:c r="C74" s="5" t="inlineStr">
        <x:is>
          <x:t xml:space="preserve">Startup &amp; Business Builder</x:t>
        </x:is>
      </x:c>
      <x:c r="D74" s="5" t="inlineStr">
        <x:is>
          <x:t xml:space="preserve">Build</x:t>
        </x:is>
      </x:c>
      <x:c r="E74" s="5" t="inlineStr">
        <x:is>
          <x:t xml:space="preserve">Core 150</x:t>
        </x:is>
      </x:c>
      <x:c r="F74" s="5" t="n">
        <x:v>2</x:v>
      </x:c>
      <x:c r="G74" s="5" t="inlineStr">
        <x:is>
          <x:t xml:space="preserve">Turn my idea into a real business model with pricing, GTM, and milestones.</x:t>
        </x:is>
      </x:c>
      <x:c r="H74" s="6" t="n">
        <x:v>65</x:v>
      </x:c>
      <x:c r="I74" s="6" t="n">
        <x:v>65</x:v>
      </x:c>
      <x:c r="J74" s="7" t="n">
        <x:v>79</x:v>
      </x:c>
      <x:c r="K74" s="7" t="n">
        <x:v>71</x:v>
      </x:c>
      <x:c r="L74" s="8" t="inlineStr">
        <x:is>
          <x:t xml:space="preserve">UNTESTED</x:t>
        </x:is>
      </x:c>
      <x:c r="M74" s="9" t="inlineStr">
        <x:is>
          <x:t xml:space="preserve">UNTESTED</x:t>
        </x:is>
      </x:c>
      <x:c r="N74" s="5" t="inlineStr">
        <x:is>
          <x:t xml:space="preserve">strategy; product thinking; GTM reasoning; structured planning</x:t>
        </x:is>
      </x:c>
      <x:c r="O74" s="5" t="inlineStr">
        <x:is>
          <x:t xml:space="preserve">Medium</x:t>
        </x:is>
      </x:c>
      <x:c r="P74" s="5" t="inlineStr">
        <x:is>
          <x:t xml:space="preserve">High</x:t>
        </x:is>
      </x:c>
      <x:c r="Q74" s="5" t="inlineStr">
        <x:is>
          <x:t xml:space="preserve">Low</x:t>
        </x:is>
      </x:c>
      <x:c r="R74" s="5" t="inlineStr">
        <x:is>
          <x:t xml:space="preserve">Medium</x:t>
        </x:is>
      </x:c>
      <x:c r="S74" s="5" t="inlineStr">
        <x:is>
          <x:t xml:space="preserve">Low</x:t>
        </x:is>
      </x:c>
      <x:c r="T74" s="5" t="inlineStr">
        <x:is>
          <x:t xml:space="preserve">Claude + ChatGPT combo</x:t>
        </x:is>
      </x:c>
      <x:c r="U74" s="5" t="inlineStr">
        <x:is>
          <x:t xml:space="preserve">Easy</x:t>
        </x:is>
      </x:c>
      <x:c r="V74" s="10" t="n">
        <x:v>1</x:v>
      </x:c>
      <x:c r="W74" s="5" t="inlineStr">
        <x:is>
          <x:t xml:space="preserve">Plan generation + critique + strategic review</x:t>
        </x:is>
      </x:c>
      <x:c r="X74" s="5" t="inlineStr">
        <x:is>
          <x:t xml:space="preserve">roadmap / GTM plan / business memo</x:t>
        </x:is>
      </x:c>
      <x:c r="Y74" s="5" t="inlineStr">
        <x:is>
          <x:t xml:space="preserve">Recommendation is strategically sharp, prioritized, and grounded in market reality.</x:t>
        </x:is>
      </x:c>
      <x:c r="Z74" s="5" t="inlineStr">
        <x:is>
          <x:t xml:space="preserve">Buzzwordy output, no wedge, weak prioritization, or unearned confidence.</x:t>
        </x:is>
      </x:c>
      <x:c r="AA74" s="5" t="inlineStr">
        <x:is>
          <x:t xml:space="preserve">strategy templates / board logic / critique loop</x:t>
        </x:is>
      </x:c>
      <x:c r="AB74" s="5" t="inlineStr">
        <x:is>
          <x:t xml:space="preserve"/>
        </x:is>
      </x:c>
      <x:c r="AC74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74" s="5" t="inlineStr">
        <x:is>
          <x:t xml:space="preserve">OpenAI How People Use ChatGPT paper; Menlo State of Consumer AI 2025; Menlo AI UI Problem 2025</x:t>
        </x:is>
      </x:c>
      <x:c r="AE74" s="11">
        <x:f>IF(O74="High",20,IF(O74="Medium",10,IF(O74="Low",5,0)))+IF(P74="High",20,IF(P74="Medium",10,IF(P74="Low",5,0)))+IF(Q74="High",20,IF(Q74="Medium",10,IF(Q74="Low",5,0)))+IF(R74="High",20,IF(R74="Medium",10,IF(R74="Low",5,0)))+IF(S74="High",20,IF(S74="Medium",10,IF(S74="Low",5,0)))</x:f>
        <x:v>50</x:v>
      </x:c>
      <x:c r="AF74" s="12">
        <x:f>ROUND(H74*0.30+J74*0.25+K74*0.20+(100-AE74)*0.10+(100-(V74*20))*0.15,0)</x:f>
        <x:v>70</x:v>
      </x:c>
      <x:c r="AG74" s="13" t="str">
        <x:f>IF(AF74&gt;=80,"Batch 1",IF(AF74&gt;=70,"Batch 2",IF(AF74&gt;=60,"Batch 3","Backlog")))</x:f>
        <x:v>Batch 2</x:v>
      </x:c>
      <x:c r="AH74" t="inlineStr">
        <x:is>
          <x:t xml:space="preserve"/>
        </x:is>
      </x:c>
    </x:row>
    <x:row r="75">
      <x:c r="A75" s="5" t="inlineStr">
        <x:is>
          <x:t xml:space="preserve">GPO-RES-11</x:t>
        </x:is>
      </x:c>
      <x:c r="B75" s="5" t="n">
        <x:v>71</x:v>
      </x:c>
      <x:c r="C75" s="5" t="inlineStr">
        <x:is>
          <x:t xml:space="preserve">Research &amp; Analysis</x:t>
        </x:is>
      </x:c>
      <x:c r="D75" s="5" t="inlineStr">
        <x:is>
          <x:t xml:space="preserve">Think</x:t>
        </x:is>
      </x:c>
      <x:c r="E75" s="5" t="inlineStr">
        <x:is>
          <x:t xml:space="preserve">Expansion 150</x:t>
        </x:is>
      </x:c>
      <x:c r="F75" s="5" t="n">
        <x:v>11</x:v>
      </x:c>
      <x:c r="G75" s="5" t="inlineStr">
        <x:is>
          <x:t xml:space="preserve">Research the exact steps, costs, and constraints for the goal.</x:t>
        </x:is>
      </x:c>
      <x:c r="H75" s="6" t="n">
        <x:v>64</x:v>
      </x:c>
      <x:c r="I75" s="6" t="n">
        <x:v>64</x:v>
      </x:c>
      <x:c r="J75" s="7" t="n">
        <x:v>80</x:v>
      </x:c>
      <x:c r="K75" s="7" t="n">
        <x:v>71</x:v>
      </x:c>
      <x:c r="L75" s="8" t="inlineStr">
        <x:is>
          <x:t xml:space="preserve">UNTESTED</x:t>
        </x:is>
      </x:c>
      <x:c r="M75" s="9" t="inlineStr">
        <x:is>
          <x:t xml:space="preserve">UNTESTED</x:t>
        </x:is>
      </x:c>
      <x:c r="N75" s="5" t="inlineStr">
        <x:is>
          <x:t xml:space="preserve">web research; synthesis; citation discipline; decision framing</x:t>
        </x:is>
      </x:c>
      <x:c r="O75" s="5" t="inlineStr">
        <x:is>
          <x:t xml:space="preserve">High</x:t>
        </x:is>
      </x:c>
      <x:c r="P75" s="5" t="inlineStr">
        <x:is>
          <x:t xml:space="preserve">Medium</x:t>
        </x:is>
      </x:c>
      <x:c r="Q75" s="5" t="inlineStr">
        <x:is>
          <x:t xml:space="preserve">Medium</x:t>
        </x:is>
      </x:c>
      <x:c r="R75" s="5" t="inlineStr">
        <x:is>
          <x:t xml:space="preserve">Medium</x:t>
        </x:is>
      </x:c>
      <x:c r="S75" s="5" t="inlineStr">
        <x:is>
          <x:t xml:space="preserve">Low</x:t>
        </x:is>
      </x:c>
      <x:c r="T75" s="5" t="inlineStr">
        <x:is>
          <x:t xml:space="preserve">ChatGPT with web; Claude for synthesis</x:t>
        </x:is>
      </x:c>
      <x:c r="U75" s="5" t="inlineStr">
        <x:is>
          <x:t xml:space="preserve">Easy</x:t>
        </x:is>
      </x:c>
      <x:c r="V75" s="10" t="n">
        <x:v>1</x:v>
      </x:c>
      <x:c r="W75" s="5" t="inlineStr">
        <x:is>
          <x:t xml:space="preserve">Live research + source validation + recommendation review</x:t>
        </x:is>
      </x:c>
      <x:c r="X75" s="5" t="inlineStr">
        <x:is>
          <x:t xml:space="preserve">brief / comparison / decision memo / risk analysis</x:t>
        </x:is>
      </x:c>
      <x:c r="Y75" s="5" t="inlineStr">
        <x:is>
          <x:t xml:space="preserve">Accurate synthesis with evidence, tradeoffs, and a concrete recommendation.</x:t>
        </x:is>
      </x:c>
      <x:c r="Z75" s="5" t="inlineStr">
        <x:is>
          <x:t xml:space="preserve">Stale facts, no citations, weak reasoning, or surface-level synthesis.</x:t>
        </x:is>
      </x:c>
      <x:c r="AA75" s="5" t="inlineStr">
        <x:is>
          <x:t xml:space="preserve">web integration / citation enforcement / analysis rubric</x:t>
        </x:is>
      </x:c>
      <x:c r="AB75" s="5" t="inlineStr">
        <x:is>
          <x:t xml:space="preserve"/>
        </x:is>
      </x:c>
      <x:c r="AC75" s="5" t="inlineStr">
        <x:is>
          <x:t xml:space="preserve">OpenAI usage paper: Seeking Information is in top 3 categories; work/advice/search are common across Deloitte and OpenAI.</x:t>
        </x:is>
      </x:c>
      <x:c r="AD75" s="5" t="inlineStr">
        <x:is>
          <x:t xml:space="preserve">OpenAI How People Use ChatGPT paper; Deloitte Connected Consumer 2025</x:t>
        </x:is>
      </x:c>
      <x:c r="AE75" s="11">
        <x:f>IF(O75="High",20,IF(O75="Medium",10,IF(O75="Low",5,0)))+IF(P75="High",20,IF(P75="Medium",10,IF(P75="Low",5,0)))+IF(Q75="High",20,IF(Q75="Medium",10,IF(Q75="Low",5,0)))+IF(R75="High",20,IF(R75="Medium",10,IF(R75="Low",5,0)))+IF(S75="High",20,IF(S75="Medium",10,IF(S75="Low",5,0)))</x:f>
        <x:v>55</x:v>
      </x:c>
      <x:c r="AF75" s="12">
        <x:f>ROUND(H75*0.30+J75*0.25+K75*0.20+(100-AE75)*0.10+(100-(V75*20))*0.15,0)</x:f>
        <x:v>70</x:v>
      </x:c>
      <x:c r="AG75" s="13" t="str">
        <x:f>IF(AF75&gt;=80,"Batch 1",IF(AF75&gt;=70,"Batch 2",IF(AF75&gt;=60,"Batch 3","Backlog")))</x:f>
        <x:v>Batch 2</x:v>
      </x:c>
      <x:c r="AH75" t="inlineStr">
        <x:is>
          <x:t xml:space="preserve"/>
        </x:is>
      </x:c>
    </x:row>
    <x:row r="76">
      <x:c r="A76" s="5" t="inlineStr">
        <x:is>
          <x:t xml:space="preserve">GPO-SCH-09</x:t>
        </x:is>
      </x:c>
      <x:c r="B76" s="5" t="n">
        <x:v>72</x:v>
      </x:c>
      <x:c r="C76" s="5" t="inlineStr">
        <x:is>
          <x:t xml:space="preserve">Scheduling &amp; Life Operations</x:t>
        </x:is>
      </x:c>
      <x:c r="D76" s="5" t="inlineStr">
        <x:is>
          <x:t xml:space="preserve">Operate</x:t>
        </x:is>
      </x:c>
      <x:c r="E76" s="5" t="inlineStr">
        <x:is>
          <x:t xml:space="preserve">Core 150</x:t>
        </x:is>
      </x:c>
      <x:c r="F76" s="5" t="n">
        <x:v>9</x:v>
      </x:c>
      <x:c r="G76" s="5" t="inlineStr">
        <x:is>
          <x:t xml:space="preserve">Create a move/visa/life-admin plan with dates, documents, and dependencies.</x:t>
        </x:is>
      </x:c>
      <x:c r="H76" s="6" t="n">
        <x:v>64</x:v>
      </x:c>
      <x:c r="I76" s="6" t="n">
        <x:v>64</x:v>
      </x:c>
      <x:c r="J76" s="7" t="n">
        <x:v>80</x:v>
      </x:c>
      <x:c r="K76" s="7" t="n">
        <x:v>71</x:v>
      </x:c>
      <x:c r="L76" s="8" t="inlineStr">
        <x:is>
          <x:t xml:space="preserve">UNTESTED</x:t>
        </x:is>
      </x:c>
      <x:c r="M76" s="9" t="inlineStr">
        <x:is>
          <x:t xml:space="preserve">UNTESTED</x:t>
        </x:is>
      </x:c>
      <x:c r="N76" s="5" t="inlineStr">
        <x:is>
          <x:t xml:space="preserve">task planning; prioritization; calendar reasoning; personal constraints handling</x:t>
        </x:is>
      </x:c>
      <x:c r="O76" s="5" t="inlineStr">
        <x:is>
          <x:t xml:space="preserve">Low</x:t>
        </x:is>
      </x:c>
      <x:c r="P76" s="5" t="inlineStr">
        <x:is>
          <x:t xml:space="preserve">High</x:t>
        </x:is>
      </x:c>
      <x:c r="Q76" s="5" t="inlineStr">
        <x:is>
          <x:t xml:space="preserve">Medium</x:t>
        </x:is>
      </x:c>
      <x:c r="R76" s="5" t="inlineStr">
        <x:is>
          <x:t xml:space="preserve">Low</x:t>
        </x:is>
      </x:c>
      <x:c r="S76" s="5" t="inlineStr">
        <x:is>
          <x:t xml:space="preserve">Low</x:t>
        </x:is>
      </x:c>
      <x:c r="T76" s="5" t="inlineStr">
        <x:is>
          <x:t xml:space="preserve">ChatGPT primary; calendar integrations later</x:t>
        </x:is>
      </x:c>
      <x:c r="U76" s="5" t="inlineStr">
        <x:is>
          <x:t xml:space="preserve">Easy</x:t>
        </x:is>
      </x:c>
      <x:c r="V76" s="10" t="n">
        <x:v>1</x:v>
      </x:c>
      <x:c r="W76" s="5" t="inlineStr">
        <x:is>
          <x:t xml:space="preserve">Scenario-based planning + operator utility review</x:t>
        </x:is>
      </x:c>
      <x:c r="X76" s="5" t="inlineStr">
        <x:is>
          <x:t xml:space="preserve">schedule / checklist / operating plan</x:t>
        </x:is>
      </x:c>
      <x:c r="Y76" s="5" t="inlineStr">
        <x:is>
          <x:t xml:space="preserve">Plan is realistic, prioritized, and executable under stated constraints.</x:t>
        </x:is>
      </x:c>
      <x:c r="Z76" s="5" t="inlineStr">
        <x:is>
          <x:t xml:space="preserve">Overpacked schedule, ignored constraints, or vague next steps.</x:t>
        </x:is>
      </x:c>
      <x:c r="AA76" s="5" t="inlineStr">
        <x:is>
          <x:t xml:space="preserve">planner engine / memory / calendar-tool integration</x:t>
        </x:is>
      </x:c>
      <x:c r="AB76" s="5" t="inlineStr">
        <x:is>
          <x:t xml:space="preserve"/>
        </x:is>
      </x:c>
      <x:c r="AC76" s="5" t="inlineStr">
        <x:is>
          <x:t xml:space="preserve">Menlo consumer AI: 18% use AI to manage to-do lists and 15% to organize notes; Zao-Sanders ranked 'Organise my life' #2.</x:t>
        </x:is>
      </x:c>
      <x:c r="AD76" s="5" t="inlineStr">
        <x:is>
          <x:t xml:space="preserve">Menlo State of Consumer AI 2025; Zao-Sanders Top-100 GenAI Use Cases 2025</x:t>
        </x:is>
      </x:c>
      <x:c r="AE76" s="11">
        <x:f>IF(O76="High",20,IF(O76="Medium",10,IF(O76="Low",5,0)))+IF(P76="High",20,IF(P76="Medium",10,IF(P76="Low",5,0)))+IF(Q76="High",20,IF(Q76="Medium",10,IF(Q76="Low",5,0)))+IF(R76="High",20,IF(R76="Medium",10,IF(R76="Low",5,0)))+IF(S76="High",20,IF(S76="Medium",10,IF(S76="Low",5,0)))</x:f>
        <x:v>45</x:v>
      </x:c>
      <x:c r="AF76" s="12">
        <x:f>ROUND(H76*0.30+J76*0.25+K76*0.20+(100-AE76)*0.10+(100-(V76*20))*0.15,0)</x:f>
        <x:v>71</x:v>
      </x:c>
      <x:c r="AG76" s="13" t="str">
        <x:f>IF(AF76&gt;=80,"Batch 1",IF(AF76&gt;=70,"Batch 2",IF(AF76&gt;=60,"Batch 3","Backlog")))</x:f>
        <x:v>Batch 2</x:v>
      </x:c>
      <x:c r="AH76" t="inlineStr">
        <x:is>
          <x:t xml:space="preserve"/>
        </x:is>
      </x:c>
    </x:row>
    <x:row r="77">
      <x:c r="A77" s="5" t="inlineStr">
        <x:is>
          <x:t xml:space="preserve">GPO-TRA-05</x:t>
        </x:is>
      </x:c>
      <x:c r="B77" s="5" t="n">
        <x:v>73</x:v>
      </x:c>
      <x:c r="C77" s="5" t="inlineStr">
        <x:is>
          <x:t xml:space="preserve">Travel &amp; Relocation Planner</x:t>
        </x:is>
      </x:c>
      <x:c r="D77" s="5" t="inlineStr">
        <x:is>
          <x:t xml:space="preserve">Move</x:t>
        </x:is>
      </x:c>
      <x:c r="E77" s="5" t="inlineStr">
        <x:is>
          <x:t xml:space="preserve">Core 150</x:t>
        </x:is>
      </x:c>
      <x:c r="F77" s="5" t="n">
        <x:v>5</x:v>
      </x:c>
      <x:c r="G77" s="5" t="inlineStr">
        <x:is>
          <x:t xml:space="preserve">Plan a visa/immigration/document checklist for moving to this place.</x:t>
        </x:is>
      </x:c>
      <x:c r="H77" s="6" t="n">
        <x:v>64</x:v>
      </x:c>
      <x:c r="I77" s="6" t="n">
        <x:v>64</x:v>
      </x:c>
      <x:c r="J77" s="7" t="n">
        <x:v>80</x:v>
      </x:c>
      <x:c r="K77" s="7" t="n">
        <x:v>71</x:v>
      </x:c>
      <x:c r="L77" s="8" t="inlineStr">
        <x:is>
          <x:t xml:space="preserve">UNTESTED</x:t>
        </x:is>
      </x:c>
      <x:c r="M77" s="9" t="inlineStr">
        <x:is>
          <x:t xml:space="preserve">UNTESTED</x:t>
        </x:is>
      </x:c>
      <x:c r="N77" s="5" t="inlineStr">
        <x:is>
          <x:t xml:space="preserve">travel research; itinerary planning; logistics reasoning; contingency planning</x:t>
        </x:is>
      </x:c>
      <x:c r="O77" s="5" t="inlineStr">
        <x:is>
          <x:t xml:space="preserve">High</x:t>
        </x:is>
      </x:c>
      <x:c r="P77" s="5" t="inlineStr">
        <x:is>
          <x:t xml:space="preserve">Medium</x:t>
        </x:is>
      </x:c>
      <x:c r="Q77" s="5" t="inlineStr">
        <x:is>
          <x:t xml:space="preserve">Medium</x:t>
        </x:is>
      </x:c>
      <x:c r="R77" s="5" t="inlineStr">
        <x:is>
          <x:t xml:space="preserve">Low</x:t>
        </x:is>
      </x:c>
      <x:c r="S77" s="5" t="inlineStr">
        <x:is>
          <x:t xml:space="preserve">Low</x:t>
        </x:is>
      </x:c>
      <x:c r="T77" s="5" t="inlineStr">
        <x:is>
          <x:t xml:space="preserve">ChatGPT with web; maps/calendar later</x:t>
        </x:is>
      </x:c>
      <x:c r="U77" s="5" t="inlineStr">
        <x:is>
          <x:t xml:space="preserve">Easy</x:t>
        </x:is>
      </x:c>
      <x:c r="V77" s="10" t="n">
        <x:v>1</x:v>
      </x:c>
      <x:c r="W77" s="5" t="inlineStr">
        <x:is>
          <x:t xml:space="preserve">Live trip planning + feasibility review</x:t>
        </x:is>
      </x:c>
      <x:c r="X77" s="5" t="inlineStr">
        <x:is>
          <x:t xml:space="preserve">itinerary / relocation plan / checklist</x:t>
        </x:is>
      </x:c>
      <x:c r="Y77" s="5" t="inlineStr">
        <x:is>
          <x:t xml:space="preserve">Plan is current, geographically sensible, and tuned to budget/constraints.</x:t>
        </x:is>
      </x:c>
      <x:c r="Z77" s="5" t="inlineStr">
        <x:is>
          <x:t xml:space="preserve">Bad logistics, stale info, wrong timing, or generic travel advice.</x:t>
        </x:is>
      </x:c>
      <x:c r="AA77" s="5" t="inlineStr">
        <x:is>
          <x:t xml:space="preserve">travel templates / web + mapping integration / logistics engine</x:t>
        </x:is>
      </x:c>
      <x:c r="AB77" s="5" t="inlineStr">
        <x:is>
          <x:t xml:space="preserve"/>
        </x:is>
      </x:c>
      <x:c r="AC77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77" s="5" t="inlineStr">
        <x:is>
          <x:t xml:space="preserve">Deloitte Connected Consumer 2025; Adobe travel planning 2025</x:t>
        </x:is>
      </x:c>
      <x:c r="AE77" s="11">
        <x:f>IF(O77="High",20,IF(O77="Medium",10,IF(O77="Low",5,0)))+IF(P77="High",20,IF(P77="Medium",10,IF(P77="Low",5,0)))+IF(Q77="High",20,IF(Q77="Medium",10,IF(Q77="Low",5,0)))+IF(R77="High",20,IF(R77="Medium",10,IF(R77="Low",5,0)))+IF(S77="High",20,IF(S77="Medium",10,IF(S77="Low",5,0)))</x:f>
        <x:v>50</x:v>
      </x:c>
      <x:c r="AF77" s="12">
        <x:f>ROUND(H77*0.30+J77*0.25+K77*0.20+(100-AE77)*0.10+(100-(V77*20))*0.15,0)</x:f>
        <x:v>70</x:v>
      </x:c>
      <x:c r="AG77" s="13" t="str">
        <x:f>IF(AF77&gt;=80,"Batch 1",IF(AF77&gt;=70,"Batch 2",IF(AF77&gt;=60,"Batch 3","Backlog")))</x:f>
        <x:v>Batch 2</x:v>
      </x:c>
      <x:c r="AH77" t="inlineStr">
        <x:is>
          <x:t xml:space="preserve"/>
        </x:is>
      </x:c>
    </x:row>
    <x:row r="78">
      <x:c r="A78" s="5" t="inlineStr">
        <x:is>
          <x:t xml:space="preserve">GPO-WRI-14</x:t>
        </x:is>
      </x:c>
      <x:c r="B78" s="5" t="n">
        <x:v>74</x:v>
      </x:c>
      <x:c r="C78" s="5" t="inlineStr">
        <x:is>
          <x:t xml:space="preserve">Writing &amp; Documentation</x:t>
        </x:is>
      </x:c>
      <x:c r="D78" s="5" t="inlineStr">
        <x:is>
          <x:t xml:space="preserve">Create</x:t>
        </x:is>
      </x:c>
      <x:c r="E78" s="5" t="inlineStr">
        <x:is>
          <x:t xml:space="preserve">Expansion 150</x:t>
        </x:is>
      </x:c>
      <x:c r="F78" s="5" t="n">
        <x:v>14</x:v>
      </x:c>
      <x:c r="G78" s="5" t="inlineStr">
        <x:is>
          <x:t xml:space="preserve">Create a knowledge base article that reduces repetitive support questions about {issue}.</x:t>
        </x:is>
      </x:c>
      <x:c r="H78" s="6" t="n">
        <x:v>61</x:v>
      </x:c>
      <x:c r="I78" s="6" t="n">
        <x:v>61</x:v>
      </x:c>
      <x:c r="J78" s="7" t="n">
        <x:v>84</x:v>
      </x:c>
      <x:c r="K78" s="7" t="n">
        <x:v>71</x:v>
      </x:c>
      <x:c r="L78" s="8" t="inlineStr">
        <x:is>
          <x:t xml:space="preserve">UNTESTED</x:t>
        </x:is>
      </x:c>
      <x:c r="M78" s="9" t="inlineStr">
        <x:is>
          <x:t xml:space="preserve">UNTESTED</x:t>
        </x:is>
      </x:c>
      <x:c r="N78" s="5" t="inlineStr">
        <x:is>
          <x:t xml:space="preserve">writing quality; summarization; style control; structured artifacts</x:t>
        </x:is>
      </x:c>
      <x:c r="O78" s="5" t="inlineStr">
        <x:is>
          <x:t xml:space="preserve">Low</x:t>
        </x:is>
      </x:c>
      <x:c r="P78" s="5" t="inlineStr">
        <x:is>
          <x:t xml:space="preserve">Medium</x:t>
        </x:is>
      </x:c>
      <x:c r="Q78" s="5" t="inlineStr">
        <x:is>
          <x:t xml:space="preserve">Low</x:t>
        </x:is>
      </x:c>
      <x:c r="R78" s="5" t="inlineStr">
        <x:is>
          <x:t xml:space="preserve">Low</x:t>
        </x:is>
      </x:c>
      <x:c r="S78" s="5" t="inlineStr">
        <x:is>
          <x:t xml:space="preserve">Low</x:t>
        </x:is>
      </x:c>
      <x:c r="T78" s="5" t="inlineStr">
        <x:is>
          <x:t xml:space="preserve">ChatGPT or Claude; human review optional</x:t>
        </x:is>
      </x:c>
      <x:c r="U78" s="5" t="inlineStr">
        <x:is>
          <x:t xml:space="preserve">Easy</x:t>
        </x:is>
      </x:c>
      <x:c r="V78" s="10" t="n">
        <x:v>1</x:v>
      </x:c>
      <x:c r="W78" s="5" t="inlineStr">
        <x:is>
          <x:t xml:space="preserve">Prompt execution + artifact quality review</x:t>
        </x:is>
      </x:c>
      <x:c r="X78" s="5" t="inlineStr">
        <x:is>
          <x:t xml:space="preserve">doc / memo / email / FAQ / summary</x:t>
        </x:is>
      </x:c>
      <x:c r="Y78" s="5" t="inlineStr">
        <x:is>
          <x:t xml:space="preserve">Output is clear, tailored, structurally sound, and immediately usable.</x:t>
        </x:is>
      </x:c>
      <x:c r="Z78" s="5" t="inlineStr">
        <x:is>
          <x:t xml:space="preserve">Generic tone, missing context, weak structure, or wrong audience level.</x:t>
        </x:is>
      </x:c>
      <x:c r="AA78" s="5" t="inlineStr">
        <x:is>
          <x:t xml:space="preserve">prompt pack / style guidance / output schema</x:t>
        </x:is>
      </x:c>
      <x:c r="AB78" s="5" t="inlineStr">
        <x:is>
          <x:t xml:space="preserve"/>
        </x:is>
      </x:c>
      <x:c r="AC78" s="5" t="inlineStr">
        <x:is>
          <x:t xml:space="preserve">OpenAI usage paper: Writing is in top 3 categories; Menlo consumer AI says 19% use AI to write emails and 18% get writing support.</x:t>
        </x:is>
      </x:c>
      <x:c r="AD78" s="5" t="inlineStr">
        <x:is>
          <x:t xml:space="preserve">OpenAI How People Use ChatGPT paper; Menlo State of Consumer AI 2025</x:t>
        </x:is>
      </x:c>
      <x:c r="AE78" s="11">
        <x:f>IF(O78="High",20,IF(O78="Medium",10,IF(O78="Low",5,0)))+IF(P78="High",20,IF(P78="Medium",10,IF(P78="Low",5,0)))+IF(Q78="High",20,IF(Q78="Medium",10,IF(Q78="Low",5,0)))+IF(R78="High",20,IF(R78="Medium",10,IF(R78="Low",5,0)))+IF(S78="High",20,IF(S78="Medium",10,IF(S78="Low",5,0)))</x:f>
        <x:v>30</x:v>
      </x:c>
      <x:c r="AF78" s="12">
        <x:f>ROUND(H78*0.30+J78*0.25+K78*0.20+(100-AE78)*0.10+(100-(V78*20))*0.15,0)</x:f>
        <x:v>73</x:v>
      </x:c>
      <x:c r="AG78" s="13" t="str">
        <x:f>IF(AF78&gt;=80,"Batch 1",IF(AF78&gt;=70,"Batch 2",IF(AF78&gt;=60,"Batch 3","Backlog")))</x:f>
        <x:v>Batch 2</x:v>
      </x:c>
      <x:c r="AH78" t="inlineStr">
        <x:is>
          <x:t xml:space="preserve"/>
        </x:is>
      </x:c>
    </x:row>
    <x:row r="79">
      <x:c r="A79" s="5" t="inlineStr">
        <x:is>
          <x:t xml:space="preserve">GPO-COD-14</x:t>
        </x:is>
      </x:c>
      <x:c r="B79" s="5" t="n">
        <x:v>75</x:v>
      </x:c>
      <x:c r="C79" s="5" t="inlineStr">
        <x:is>
          <x:t xml:space="preserve">Code &amp; Product Engineering</x:t>
        </x:is>
      </x:c>
      <x:c r="D79" s="5" t="inlineStr">
        <x:is>
          <x:t xml:space="preserve">Build</x:t>
        </x:is>
      </x:c>
      <x:c r="E79" s="5" t="inlineStr">
        <x:is>
          <x:t xml:space="preserve">Expansion 150</x:t>
        </x:is>
      </x:c>
      <x:c r="F79" s="5" t="n">
        <x:v>14</x:v>
      </x:c>
      <x:c r="G79" s="5" t="inlineStr">
        <x:is>
          <x:t xml:space="preserve">Convert this Figma/spec into a front end that matches spacing, states, and interactions.</x:t>
        </x:is>
      </x:c>
      <x:c r="H79" s="6" t="n">
        <x:v>62</x:v>
      </x:c>
      <x:c r="I79" s="6" t="n">
        <x:v>62</x:v>
      </x:c>
      <x:c r="J79" s="7" t="n">
        <x:v>82</x:v>
      </x:c>
      <x:c r="K79" s="7" t="n">
        <x:v>71</x:v>
      </x:c>
      <x:c r="L79" s="8" t="inlineStr">
        <x:is>
          <x:t xml:space="preserve">UNTESTED</x:t>
        </x:is>
      </x:c>
      <x:c r="M79" s="9" t="inlineStr">
        <x:is>
          <x:t xml:space="preserve">UNTESTED</x:t>
        </x:is>
      </x:c>
      <x:c r="N79" s="5" t="inlineStr">
        <x:is>
          <x:t xml:space="preserve">routing; code reasoning; repo context; file edit; test execution; structured output</x:t>
        </x:is>
      </x:c>
      <x:c r="O79" s="5" t="inlineStr">
        <x:is>
          <x:t xml:space="preserve">No</x:t>
        </x:is>
      </x:c>
      <x:c r="P79" s="5" t="inlineStr">
        <x:is>
          <x:t xml:space="preserve">Medium</x:t>
        </x:is>
      </x:c>
      <x:c r="Q79" s="5" t="inlineStr">
        <x:is>
          <x:t xml:space="preserve">High</x:t>
        </x:is>
      </x:c>
      <x:c r="R79" s="5" t="inlineStr">
        <x:is>
          <x:t xml:space="preserve">Medium</x:t>
        </x:is>
      </x:c>
      <x:c r="S79" s="5" t="inlineStr">
        <x:is>
          <x:t xml:space="preserve">Low</x:t>
        </x:is>
      </x:c>
      <x:c r="T79" s="5" t="inlineStr">
        <x:is>
          <x:t xml:space="preserve">Claude Code primary; ChatGPT critique; web optional</x:t>
        </x:is>
      </x:c>
      <x:c r="U79" s="5" t="inlineStr">
        <x:is>
          <x:t xml:space="preserve">Easy</x:t>
        </x:is>
      </x:c>
      <x:c r="V79" s="10" t="n">
        <x:v>1</x:v>
      </x:c>
      <x:c r="W79" s="5" t="inlineStr">
        <x:is>
          <x:t xml:space="preserve">Live execution + code diff + output review</x:t>
        </x:is>
      </x:c>
      <x:c r="X79" s="5" t="inlineStr">
        <x:is>
          <x:t xml:space="preserve">code patch / spec / architecture / debug report</x:t>
        </x:is>
      </x:c>
      <x:c r="Y79" s="5" t="inlineStr">
        <x:is>
          <x:t xml:space="preserve">Produces correct technical plan or working code without breaking current behavior.</x:t>
        </x:is>
      </x:c>
      <x:c r="Z79" s="5" t="inlineStr">
        <x:is>
          <x:t xml:space="preserve">Hallucinated codebase facts, unsafe refactor, broken tests, or vague technical output.</x:t>
        </x:is>
      </x:c>
      <x:c r="AA79" s="5" t="inlineStr">
        <x:is>
          <x:t xml:space="preserve">routing / tool wiring / repo context / codegen guardrails</x:t>
        </x:is>
      </x:c>
      <x:c r="AB79" s="5" t="inlineStr">
        <x:is>
          <x:t xml:space="preserve"/>
        </x:is>
      </x:c>
      <x:c r="AC79" s="5" t="inlineStr">
        <x:is>
          <x:t xml:space="preserve">OpenAI/common use: writing+coding; Menlo enterprise coding is 55% of departmental AI spend; Deloitte top app: work assistance.</x:t>
        </x:is>
      </x:c>
      <x:c r="AD79" s="5" t="inlineStr">
        <x:is>
          <x:t xml:space="preserve">OpenAI GPT-5 / How People Use ChatGPT; Menlo State of GenAI in Enterprise 2025; Deloitte Connected Consumer 2025</x:t>
        </x:is>
      </x:c>
      <x:c r="AE79" s="11">
        <x:f>IF(O79="High",20,IF(O79="Medium",10,IF(O79="Low",5,0)))+IF(P79="High",20,IF(P79="Medium",10,IF(P79="Low",5,0)))+IF(Q79="High",20,IF(Q79="Medium",10,IF(Q79="Low",5,0)))+IF(R79="High",20,IF(R79="Medium",10,IF(R79="Low",5,0)))+IF(S79="High",20,IF(S79="Medium",10,IF(S79="Low",5,0)))</x:f>
        <x:v>45</x:v>
      </x:c>
      <x:c r="AF79" s="12">
        <x:f>ROUND(H79*0.30+J79*0.25+K79*0.20+(100-AE79)*0.10+(100-(V79*20))*0.15,0)</x:f>
        <x:v>71</x:v>
      </x:c>
      <x:c r="AG79" s="13" t="str">
        <x:f>IF(AF79&gt;=80,"Batch 1",IF(AF79&gt;=70,"Batch 2",IF(AF79&gt;=60,"Batch 3","Backlog")))</x:f>
        <x:v>Batch 2</x:v>
      </x:c>
      <x:c r="AH79" t="inlineStr">
        <x:is>
          <x:t xml:space="preserve"/>
        </x:is>
      </x:c>
    </x:row>
    <x:row r="80">
      <x:c r="A80" s="5" t="inlineStr">
        <x:is>
          <x:t xml:space="preserve">GPO-LEA-11</x:t>
        </x:is>
      </x:c>
      <x:c r="B80" s="5" t="n">
        <x:v>76</x:v>
      </x:c>
      <x:c r="C80" s="5" t="inlineStr">
        <x:is>
          <x:t xml:space="preserve">Learning &amp; Tutoring</x:t>
        </x:is>
      </x:c>
      <x:c r="D80" s="5" t="inlineStr">
        <x:is>
          <x:t xml:space="preserve">Grow</x:t>
        </x:is>
      </x:c>
      <x:c r="E80" s="5" t="inlineStr">
        <x:is>
          <x:t xml:space="preserve">Expansion 150</x:t>
        </x:is>
      </x:c>
      <x:c r="F80" s="5" t="n">
        <x:v>11</x:v>
      </x:c>
      <x:c r="G80" s="5" t="inlineStr">
        <x:is>
          <x:t xml:space="preserve">Teach me the technical skill in the context of my actual project rather than generic examples.</x:t>
        </x:is>
      </x:c>
      <x:c r="H80" s="6" t="n">
        <x:v>62</x:v>
      </x:c>
      <x:c r="I80" s="6" t="n">
        <x:v>62</x:v>
      </x:c>
      <x:c r="J80" s="7" t="n">
        <x:v>82</x:v>
      </x:c>
      <x:c r="K80" s="7" t="n">
        <x:v>71</x:v>
      </x:c>
      <x:c r="L80" s="8" t="inlineStr">
        <x:is>
          <x:t xml:space="preserve">UNTESTED</x:t>
        </x:is>
      </x:c>
      <x:c r="M80" s="9" t="inlineStr">
        <x:is>
          <x:t xml:space="preserve">UNTESTED</x:t>
        </x:is>
      </x:c>
      <x:c r="N80" s="5" t="inlineStr">
        <x:is>
          <x:t xml:space="preserve">adaptive tutoring; curriculum planning; quiz generation; context retention</x:t>
        </x:is>
      </x:c>
      <x:c r="O80" s="5" t="inlineStr">
        <x:is>
          <x:t xml:space="preserve">Low</x:t>
        </x:is>
      </x:c>
      <x:c r="P80" s="5" t="inlineStr">
        <x:is>
          <x:t xml:space="preserve">High</x:t>
        </x:is>
      </x:c>
      <x:c r="Q80" s="5" t="inlineStr">
        <x:is>
          <x:t xml:space="preserve">Low</x:t>
        </x:is>
      </x:c>
      <x:c r="R80" s="5" t="inlineStr">
        <x:is>
          <x:t xml:space="preserve">Low</x:t>
        </x:is>
      </x:c>
      <x:c r="S80" s="5" t="inlineStr">
        <x:is>
          <x:t xml:space="preserve">Low</x:t>
        </x:is>
      </x:c>
      <x:c r="T80" s="5" t="inlineStr">
        <x:is>
          <x:t xml:space="preserve">ChatGPT primary</x:t>
        </x:is>
      </x:c>
      <x:c r="U80" s="5" t="inlineStr">
        <x:is>
          <x:t xml:space="preserve">Easy</x:t>
        </x:is>
      </x:c>
      <x:c r="V80" s="10" t="n">
        <x:v>1</x:v>
      </x:c>
      <x:c r="W80" s="5" t="inlineStr">
        <x:is>
          <x:t xml:space="preserve">Interactive tutoring session + quality review</x:t>
        </x:is>
      </x:c>
      <x:c r="X80" s="5" t="inlineStr">
        <x:is>
          <x:t xml:space="preserve">lesson / plan / quiz / explanation</x:t>
        </x:is>
      </x:c>
      <x:c r="Y80" s="5" t="inlineStr">
        <x:is>
          <x:t xml:space="preserve">Teaching is accurate, adaptive, and improves understanding rather than over-answering.</x:t>
        </x:is>
      </x:c>
      <x:c r="Z80" s="5" t="inlineStr">
        <x:is>
          <x:t xml:space="preserve">Wrong explanations, over-helping, no adaptation, or generic curriculum.</x:t>
        </x:is>
      </x:c>
      <x:c r="AA80" s="5" t="inlineStr">
        <x:is>
          <x:t xml:space="preserve">tutor mode / memory / scaffolding logic</x:t>
        </x:is>
      </x:c>
      <x:c r="AB80" s="5" t="inlineStr">
        <x:is>
          <x:t xml:space="preserve"/>
        </x:is>
      </x:c>
      <x:c r="AC80" s="5" t="inlineStr">
        <x:is>
          <x:t xml:space="preserve">OpenAI practical guidance includes tutoring; HEPI 2025 says 88% of students use GenAI for assessments, often to explain concepts and summarize articles.</x:t>
        </x:is>
      </x:c>
      <x:c r="AD80" s="5" t="inlineStr">
        <x:is>
          <x:t xml:space="preserve">OpenAI How People Use ChatGPT paper; HEPI Student Generative AI Survey 2025; Brookings 2026 tutoring article</x:t>
        </x:is>
      </x:c>
      <x:c r="AE80" s="11">
        <x:f>IF(O80="High",20,IF(O80="Medium",10,IF(O80="Low",5,0)))+IF(P80="High",20,IF(P80="Medium",10,IF(P80="Low",5,0)))+IF(Q80="High",20,IF(Q80="Medium",10,IF(Q80="Low",5,0)))+IF(R80="High",20,IF(R80="Medium",10,IF(R80="Low",5,0)))+IF(S80="High",20,IF(S80="Medium",10,IF(S80="Low",5,0)))</x:f>
        <x:v>40</x:v>
      </x:c>
      <x:c r="AF80" s="12">
        <x:f>ROUND(H80*0.30+J80*0.25+K80*0.20+(100-AE80)*0.10+(100-(V80*20))*0.15,0)</x:f>
        <x:v>71</x:v>
      </x:c>
      <x:c r="AG80" s="13" t="str">
        <x:f>IF(AF80&gt;=80,"Batch 1",IF(AF80&gt;=70,"Batch 2",IF(AF80&gt;=60,"Batch 3","Backlog")))</x:f>
        <x:v>Batch 2</x:v>
      </x:c>
      <x:c r="AH80" t="inlineStr">
        <x:is>
          <x:t xml:space="preserve"/>
        </x:is>
      </x:c>
    </x:row>
    <x:row r="81">
      <x:c r="A81" s="5" t="inlineStr">
        <x:is>
          <x:t xml:space="preserve">GPO-SHO-07</x:t>
        </x:is>
      </x:c>
      <x:c r="B81" s="5" t="n">
        <x:v>77</x:v>
      </x:c>
      <x:c r="C81" s="5" t="inlineStr">
        <x:is>
          <x:t xml:space="preserve">Shopping &amp; Buying Advisor</x:t>
        </x:is>
      </x:c>
      <x:c r="D81" s="5" t="inlineStr">
        <x:is>
          <x:t xml:space="preserve">Buy</x:t>
        </x:is>
      </x:c>
      <x:c r="E81" s="5" t="inlineStr">
        <x:is>
          <x:t xml:space="preserve">Core 150</x:t>
        </x:is>
      </x:c>
      <x:c r="F81" s="5" t="n">
        <x:v>7</x:v>
      </x:c>
      <x:c r="G81" s="5" t="inlineStr">
        <x:is>
          <x:t xml:space="preserve">Recommend a premium setup for my main goal with a good-better-best tiered budget.</x:t>
        </x:is>
      </x:c>
      <x:c r="H81" s="6" t="n">
        <x:v>63</x:v>
      </x:c>
      <x:c r="I81" s="6" t="n">
        <x:v>63</x:v>
      </x:c>
      <x:c r="J81" s="7" t="n">
        <x:v>80</x:v>
      </x:c>
      <x:c r="K81" s="7" t="n">
        <x:v>71</x:v>
      </x:c>
      <x:c r="L81" s="8" t="inlineStr">
        <x:is>
          <x:t xml:space="preserve">UNTESTED</x:t>
        </x:is>
      </x:c>
      <x:c r="M81" s="9" t="inlineStr">
        <x:is>
          <x:t xml:space="preserve">UNTESTED</x:t>
        </x:is>
      </x:c>
      <x:c r="N81" s="5" t="inlineStr">
        <x:is>
          <x:t xml:space="preserve">web/product research; comparison; price-value reasoning; shortlist generation</x:t>
        </x:is>
      </x:c>
      <x:c r="O81" s="5" t="inlineStr">
        <x:is>
          <x:t xml:space="preserve">High</x:t>
        </x:is>
      </x:c>
      <x:c r="P81" s="5" t="inlineStr">
        <x:is>
          <x:t xml:space="preserve">Medium</x:t>
        </x:is>
      </x:c>
      <x:c r="Q81" s="5" t="inlineStr">
        <x:is>
          <x:t xml:space="preserve">Medium</x:t>
        </x:is>
      </x:c>
      <x:c r="R81" s="5" t="inlineStr">
        <x:is>
          <x:t xml:space="preserve">Low</x:t>
        </x:is>
      </x:c>
      <x:c r="S81" s="5" t="inlineStr">
        <x:is>
          <x:t xml:space="preserve">Low</x:t>
        </x:is>
      </x:c>
      <x:c r="T81" s="5" t="inlineStr">
        <x:is>
          <x:t xml:space="preserve">ChatGPT with web</x:t>
        </x:is>
      </x:c>
      <x:c r="U81" s="5" t="inlineStr">
        <x:is>
          <x:t xml:space="preserve">Easy</x:t>
        </x:is>
      </x:c>
      <x:c r="V81" s="10" t="n">
        <x:v>1</x:v>
      </x:c>
      <x:c r="W81" s="5" t="inlineStr">
        <x:is>
          <x:t xml:space="preserve">Live shopping query + recommendation validation</x:t>
        </x:is>
      </x:c>
      <x:c r="X81" s="5" t="inlineStr">
        <x:is>
          <x:t xml:space="preserve">shortlist / recommendation / comparison / cart plan</x:t>
        </x:is>
      </x:c>
      <x:c r="Y81" s="5" t="inlineStr">
        <x:is>
          <x:t xml:space="preserve">Recommendation fits constraints and explains tradeoffs clearly.</x:t>
        </x:is>
      </x:c>
      <x:c r="Z81" s="5" t="inlineStr">
        <x:is>
          <x:t xml:space="preserve">Outdated products, poor fit, missed constraints, or shallow comparison.</x:t>
        </x:is>
      </x:c>
      <x:c r="AA81" s="5" t="inlineStr">
        <x:is>
          <x:t xml:space="preserve">web/product retrieval / comparison template / user preference memory</x:t>
        </x:is>
      </x:c>
      <x:c r="AB81" s="5" t="inlineStr">
        <x:is>
          <x:t xml:space="preserve"/>
        </x:is>
      </x:c>
      <x:c r="AC81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81" s="5" t="inlineStr">
        <x:is>
          <x:t xml:space="preserve">Deloitte Connected Consumer 2025; Salesforce Connected Shopper 2025; IAB 2025 shopping study</x:t>
        </x:is>
      </x:c>
      <x:c r="AE81" s="11">
        <x:f>IF(O81="High",20,IF(O81="Medium",10,IF(O81="Low",5,0)))+IF(P81="High",20,IF(P81="Medium",10,IF(P81="Low",5,0)))+IF(Q81="High",20,IF(Q81="Medium",10,IF(Q81="Low",5,0)))+IF(R81="High",20,IF(R81="Medium",10,IF(R81="Low",5,0)))+IF(S81="High",20,IF(S81="Medium",10,IF(S81="Low",5,0)))</x:f>
        <x:v>50</x:v>
      </x:c>
      <x:c r="AF81" s="12">
        <x:f>ROUND(H81*0.30+J81*0.25+K81*0.20+(100-AE81)*0.10+(100-(V81*20))*0.15,0)</x:f>
        <x:v>70</x:v>
      </x:c>
      <x:c r="AG81" s="13" t="str">
        <x:f>IF(AF81&gt;=80,"Batch 1",IF(AF81&gt;=70,"Batch 2",IF(AF81&gt;=60,"Batch 3","Backlog")))</x:f>
        <x:v>Batch 2</x:v>
      </x:c>
      <x:c r="AH81" t="inlineStr">
        <x:is>
          <x:t xml:space="preserve"/>
        </x:is>
      </x:c>
    </x:row>
    <x:row r="82">
      <x:c r="A82" s="5" t="inlineStr">
        <x:is>
          <x:t xml:space="preserve">GPO-TRA-06</x:t>
        </x:is>
      </x:c>
      <x:c r="B82" s="5" t="n">
        <x:v>78</x:v>
      </x:c>
      <x:c r="C82" s="5" t="inlineStr">
        <x:is>
          <x:t xml:space="preserve">Travel &amp; Relocation Planner</x:t>
        </x:is>
      </x:c>
      <x:c r="D82" s="5" t="inlineStr">
        <x:is>
          <x:t xml:space="preserve">Move</x:t>
        </x:is>
      </x:c>
      <x:c r="E82" s="5" t="inlineStr">
        <x:is>
          <x:t xml:space="preserve">Core 150</x:t>
        </x:is>
      </x:c>
      <x:c r="F82" s="5" t="n">
        <x:v>6</x:v>
      </x:c>
      <x:c r="G82" s="5" t="inlineStr">
        <x:is>
          <x:t xml:space="preserve">Create a food, transport, and sightseeing plan optimized for time and money.</x:t>
        </x:is>
      </x:c>
      <x:c r="H82" s="6" t="n">
        <x:v>63</x:v>
      </x:c>
      <x:c r="I82" s="6" t="n">
        <x:v>63</x:v>
      </x:c>
      <x:c r="J82" s="7" t="n">
        <x:v>79</x:v>
      </x:c>
      <x:c r="K82" s="7" t="n">
        <x:v>70</x:v>
      </x:c>
      <x:c r="L82" s="8" t="inlineStr">
        <x:is>
          <x:t xml:space="preserve">UNTESTED</x:t>
        </x:is>
      </x:c>
      <x:c r="M82" s="9" t="inlineStr">
        <x:is>
          <x:t xml:space="preserve">UNTESTED</x:t>
        </x:is>
      </x:c>
      <x:c r="N82" s="5" t="inlineStr">
        <x:is>
          <x:t xml:space="preserve">travel research; itinerary planning; logistics reasoning; contingency planning</x:t>
        </x:is>
      </x:c>
      <x:c r="O82" s="5" t="inlineStr">
        <x:is>
          <x:t xml:space="preserve">High</x:t>
        </x:is>
      </x:c>
      <x:c r="P82" s="5" t="inlineStr">
        <x:is>
          <x:t xml:space="preserve">Medium</x:t>
        </x:is>
      </x:c>
      <x:c r="Q82" s="5" t="inlineStr">
        <x:is>
          <x:t xml:space="preserve">Medium</x:t>
        </x:is>
      </x:c>
      <x:c r="R82" s="5" t="inlineStr">
        <x:is>
          <x:t xml:space="preserve">Low</x:t>
        </x:is>
      </x:c>
      <x:c r="S82" s="5" t="inlineStr">
        <x:is>
          <x:t xml:space="preserve">Low</x:t>
        </x:is>
      </x:c>
      <x:c r="T82" s="5" t="inlineStr">
        <x:is>
          <x:t xml:space="preserve">ChatGPT with web; maps/calendar later</x:t>
        </x:is>
      </x:c>
      <x:c r="U82" s="5" t="inlineStr">
        <x:is>
          <x:t xml:space="preserve">Easy</x:t>
        </x:is>
      </x:c>
      <x:c r="V82" s="10" t="n">
        <x:v>1</x:v>
      </x:c>
      <x:c r="W82" s="5" t="inlineStr">
        <x:is>
          <x:t xml:space="preserve">Live trip planning + feasibility review</x:t>
        </x:is>
      </x:c>
      <x:c r="X82" s="5" t="inlineStr">
        <x:is>
          <x:t xml:space="preserve">itinerary / relocation plan / checklist</x:t>
        </x:is>
      </x:c>
      <x:c r="Y82" s="5" t="inlineStr">
        <x:is>
          <x:t xml:space="preserve">Plan is current, geographically sensible, and tuned to budget/constraints.</x:t>
        </x:is>
      </x:c>
      <x:c r="Z82" s="5" t="inlineStr">
        <x:is>
          <x:t xml:space="preserve">Bad logistics, stale info, wrong timing, or generic travel advice.</x:t>
        </x:is>
      </x:c>
      <x:c r="AA82" s="5" t="inlineStr">
        <x:is>
          <x:t xml:space="preserve">travel templates / web + mapping integration / logistics engine</x:t>
        </x:is>
      </x:c>
      <x:c r="AB82" s="5" t="inlineStr">
        <x:is>
          <x:t xml:space="preserve"/>
        </x:is>
      </x:c>
      <x:c r="AC82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82" s="5" t="inlineStr">
        <x:is>
          <x:t xml:space="preserve">Deloitte Connected Consumer 2025; Adobe travel planning 2025</x:t>
        </x:is>
      </x:c>
      <x:c r="AE82" s="11">
        <x:f>IF(O82="High",20,IF(O82="Medium",10,IF(O82="Low",5,0)))+IF(P82="High",20,IF(P82="Medium",10,IF(P82="Low",5,0)))+IF(Q82="High",20,IF(Q82="Medium",10,IF(Q82="Low",5,0)))+IF(R82="High",20,IF(R82="Medium",10,IF(R82="Low",5,0)))+IF(S82="High",20,IF(S82="Medium",10,IF(S82="Low",5,0)))</x:f>
        <x:v>50</x:v>
      </x:c>
      <x:c r="AF82" s="12">
        <x:f>ROUND(H82*0.30+J82*0.25+K82*0.20+(100-AE82)*0.10+(100-(V82*20))*0.15,0)</x:f>
        <x:v>70</x:v>
      </x:c>
      <x:c r="AG82" s="13" t="str">
        <x:f>IF(AF82&gt;=80,"Batch 1",IF(AF82&gt;=70,"Batch 2",IF(AF82&gt;=60,"Batch 3","Backlog")))</x:f>
        <x:v>Batch 2</x:v>
      </x:c>
      <x:c r="AH82" t="inlineStr">
        <x:is>
          <x:t xml:space="preserve"/>
        </x:is>
      </x:c>
    </x:row>
    <x:row r="83">
      <x:c r="A83" s="5" t="inlineStr">
        <x:is>
          <x:t xml:space="preserve">GPO-CAR-03</x:t>
        </x:is>
      </x:c>
      <x:c r="B83" s="5" t="n">
        <x:v>79</x:v>
      </x:c>
      <x:c r="C83" s="5" t="inlineStr">
        <x:is>
          <x:t xml:space="preserve">Career &amp; Job Search</x:t>
        </x:is>
      </x:c>
      <x:c r="D83" s="5" t="inlineStr">
        <x:is>
          <x:t xml:space="preserve">Advance</x:t>
        </x:is>
      </x:c>
      <x:c r="E83" s="5" t="inlineStr">
        <x:is>
          <x:t xml:space="preserve">Core 150</x:t>
        </x:is>
      </x:c>
      <x:c r="F83" s="5" t="n">
        <x:v>3</x:v>
      </x:c>
      <x:c r="G83" s="5" t="inlineStr">
        <x:is>
          <x:t xml:space="preserve">Prepare me for an interview at the company with likely questions and strong answers.</x:t>
        </x:is>
      </x:c>
      <x:c r="H83" s="6" t="n">
        <x:v>61</x:v>
      </x:c>
      <x:c r="I83" s="6" t="n">
        <x:v>61</x:v>
      </x:c>
      <x:c r="J83" s="7" t="n">
        <x:v>82</x:v>
      </x:c>
      <x:c r="K83" s="7" t="n">
        <x:v>70</x:v>
      </x:c>
      <x:c r="L83" s="8" t="inlineStr">
        <x:is>
          <x:t xml:space="preserve">UNTESTED</x:t>
        </x:is>
      </x:c>
      <x:c r="M83" s="9" t="inlineStr">
        <x:is>
          <x:t xml:space="preserve">UNTESTED</x:t>
        </x:is>
      </x:c>
      <x:c r="N83" s="5" t="inlineStr">
        <x:is>
          <x:t xml:space="preserve">resume tailoring; interview prep; role mapping; narrative building</x:t>
        </x:is>
      </x:c>
      <x:c r="O83" s="5" t="inlineStr">
        <x:is>
          <x:t xml:space="preserve">Medium</x:t>
        </x:is>
      </x:c>
      <x:c r="P83" s="5" t="inlineStr">
        <x:is>
          <x:t xml:space="preserve">High</x:t>
        </x:is>
      </x:c>
      <x:c r="Q83" s="5" t="inlineStr">
        <x:is>
          <x:t xml:space="preserve">Low</x:t>
        </x:is>
      </x:c>
      <x:c r="R83" s="5" t="inlineStr">
        <x:is>
          <x:t xml:space="preserve">Low</x:t>
        </x:is>
      </x:c>
      <x:c r="S83" s="5" t="inlineStr">
        <x:is>
          <x:t xml:space="preserve">Low</x:t>
        </x:is>
      </x:c>
      <x:c r="T83" s="5" t="inlineStr">
        <x:is>
          <x:t xml:space="preserve">ChatGPT primary</x:t>
        </x:is>
      </x:c>
      <x:c r="U83" s="5" t="inlineStr">
        <x:is>
          <x:t xml:space="preserve">Easy</x:t>
        </x:is>
      </x:c>
      <x:c r="V83" s="10" t="n">
        <x:v>1</x:v>
      </x:c>
      <x:c r="W83" s="5" t="inlineStr">
        <x:is>
          <x:t xml:space="preserve">Artifact review + mock interview + targeting review</x:t>
        </x:is>
      </x:c>
      <x:c r="X83" s="5" t="inlineStr">
        <x:is>
          <x:t xml:space="preserve">resume / prep plan / outreach / strategy memo</x:t>
        </x:is>
      </x:c>
      <x:c r="Y83" s="5" t="inlineStr">
        <x:is>
          <x:t xml:space="preserve">Career outputs are specific, credible, and materially improve positioning.</x:t>
        </x:is>
      </x:c>
      <x:c r="Z83" s="5" t="inlineStr">
        <x:is>
          <x:t xml:space="preserve">Generic resume language, fake-sounding stories, or weak role fit.</x:t>
        </x:is>
      </x:c>
      <x:c r="AA83" s="5" t="inlineStr">
        <x:is>
          <x:t xml:space="preserve">career templates / memory / ATS-aware output logic</x:t>
        </x:is>
      </x:c>
      <x:c r="AB83" s="5" t="inlineStr">
        <x:is>
          <x:t xml:space="preserve"/>
        </x:is>
      </x:c>
      <x:c r="AC83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83" s="5" t="inlineStr">
        <x:is>
          <x:t xml:space="preserve">Insight Global AI in Hiring Report 2025; NACE student survey 2025/2026</x:t>
        </x:is>
      </x:c>
      <x:c r="AE83" s="11">
        <x:f>IF(O83="High",20,IF(O83="Medium",10,IF(O83="Low",5,0)))+IF(P83="High",20,IF(P83="Medium",10,IF(P83="Low",5,0)))+IF(Q83="High",20,IF(Q83="Medium",10,IF(Q83="Low",5,0)))+IF(R83="High",20,IF(R83="Medium",10,IF(R83="Low",5,0)))+IF(S83="High",20,IF(S83="Medium",10,IF(S83="Low",5,0)))</x:f>
        <x:v>45</x:v>
      </x:c>
      <x:c r="AF83" s="12">
        <x:f>ROUND(H83*0.30+J83*0.25+K83*0.20+(100-AE83)*0.10+(100-(V83*20))*0.15,0)</x:f>
        <x:v>70</x:v>
      </x:c>
      <x:c r="AG83" s="13" t="str">
        <x:f>IF(AF83&gt;=80,"Batch 1",IF(AF83&gt;=70,"Batch 2",IF(AF83&gt;=60,"Batch 3","Backlog")))</x:f>
        <x:v>Batch 2</x:v>
      </x:c>
      <x:c r="AH83" t="inlineStr">
        <x:is>
          <x:t xml:space="preserve"/>
        </x:is>
      </x:c>
    </x:row>
    <x:row r="84">
      <x:c r="A84" s="5" t="inlineStr">
        <x:is>
          <x:t xml:space="preserve">GPO-PER-03</x:t>
        </x:is>
      </x:c>
      <x:c r="B84" s="5" t="n">
        <x:v>80</x:v>
      </x:c>
      <x:c r="C84" s="5" t="inlineStr">
        <x:is>
          <x:t xml:space="preserve">Personal Finance &amp; Investing</x:t>
        </x:is>
      </x:c>
      <x:c r="D84" s="5" t="inlineStr">
        <x:is>
          <x:t xml:space="preserve">Money</x:t>
        </x:is>
      </x:c>
      <x:c r="E84" s="5" t="inlineStr">
        <x:is>
          <x:t xml:space="preserve">Core 150</x:t>
        </x:is>
      </x:c>
      <x:c r="F84" s="5" t="n">
        <x:v>3</x:v>
      </x:c>
      <x:c r="G84" s="5" t="inlineStr">
        <x:is>
          <x:t xml:space="preserve">Help me decide whether to pay down debt, invest, or hold cash right now.</x:t>
        </x:is>
      </x:c>
      <x:c r="H84" s="6" t="n">
        <x:v>65</x:v>
      </x:c>
      <x:c r="I84" s="6" t="n">
        <x:v>65</x:v>
      </x:c>
      <x:c r="J84" s="7" t="n">
        <x:v>76</x:v>
      </x:c>
      <x:c r="K84" s="7" t="n">
        <x:v>70</x:v>
      </x:c>
      <x:c r="L84" s="8" t="inlineStr">
        <x:is>
          <x:t xml:space="preserve">UNTESTED</x:t>
        </x:is>
      </x:c>
      <x:c r="M84" s="9" t="inlineStr">
        <x:is>
          <x:t xml:space="preserve">UNTESTED</x:t>
        </x:is>
      </x:c>
      <x:c r="N84" s="5" t="inlineStr">
        <x:is>
          <x:t xml:space="preserve">scenario modeling; budgeting; portfolio reasoning; decision framing</x:t>
        </x:is>
      </x:c>
      <x:c r="O84" s="5" t="inlineStr">
        <x:is>
          <x:t xml:space="preserve">Medium</x:t>
        </x:is>
      </x:c>
      <x:c r="P84" s="5" t="inlineStr">
        <x:is>
          <x:t xml:space="preserve">High</x:t>
        </x:is>
      </x:c>
      <x:c r="Q84" s="5" t="inlineStr">
        <x:is>
          <x:t xml:space="preserve">Medium</x:t>
        </x:is>
      </x:c>
      <x:c r="R84" s="5" t="inlineStr">
        <x:is>
          <x:t xml:space="preserve">Low</x:t>
        </x:is>
      </x:c>
      <x:c r="S84" s="5" t="inlineStr">
        <x:is>
          <x:t xml:space="preserve">Medium</x:t>
        </x:is>
      </x:c>
      <x:c r="T84" s="5" t="inlineStr">
        <x:is>
          <x:t xml:space="preserve">ChatGPT or Claude with spreadsheet support</x:t>
        </x:is>
      </x:c>
      <x:c r="U84" s="5" t="inlineStr">
        <x:is>
          <x:t xml:space="preserve">Easy</x:t>
        </x:is>
      </x:c>
      <x:c r="V84" s="10" t="n">
        <x:v>1</x:v>
      </x:c>
      <x:c r="W84" s="5" t="inlineStr">
        <x:is>
          <x:t xml:space="preserve">Scenario modeling + coherence review</x:t>
        </x:is>
      </x:c>
      <x:c r="X84" s="5" t="inlineStr">
        <x:is>
          <x:t xml:space="preserve">budget / model / plan / recommendation</x:t>
        </x:is>
      </x:c>
      <x:c r="Y84" s="5" t="inlineStr">
        <x:is>
          <x:t xml:space="preserve">Advice is numerically coherent, practical, and transparent about assumptions.</x:t>
        </x:is>
      </x:c>
      <x:c r="Z84" s="5" t="inlineStr">
        <x:is>
          <x:t xml:space="preserve">Bad math, missing assumptions, or overconfident investment guidance.</x:t>
        </x:is>
      </x:c>
      <x:c r="AA84" s="5" t="inlineStr">
        <x:is>
          <x:t xml:space="preserve">financial calculator / assumption schema / spreadsheet outputs</x:t>
        </x:is>
      </x:c>
      <x:c r="AB84" s="5" t="inlineStr">
        <x:is>
          <x:t xml:space="preserve"/>
        </x:is>
      </x:c>
      <x:c r="AC84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84" s="5" t="inlineStr">
        <x:is>
          <x:t xml:space="preserve">FNBO Financial Wellbeing Study 2025; NerdWallet/Harris Poll 2026; PlanAdviser 2026</x:t>
        </x:is>
      </x:c>
      <x:c r="AE84" s="11">
        <x:f>IF(O84="High",20,IF(O84="Medium",10,IF(O84="Low",5,0)))+IF(P84="High",20,IF(P84="Medium",10,IF(P84="Low",5,0)))+IF(Q84="High",20,IF(Q84="Medium",10,IF(Q84="Low",5,0)))+IF(R84="High",20,IF(R84="Medium",10,IF(R84="Low",5,0)))+IF(S84="High",20,IF(S84="Medium",10,IF(S84="Low",5,0)))</x:f>
        <x:v>55</x:v>
      </x:c>
      <x:c r="AF84" s="12">
        <x:f>ROUND(H84*0.30+J84*0.25+K84*0.20+(100-AE84)*0.10+(100-(V84*20))*0.15,0)</x:f>
        <x:v>69</x:v>
      </x:c>
      <x:c r="AG84" s="13" t="str">
        <x:f>IF(AF84&gt;=80,"Batch 1",IF(AF84&gt;=70,"Batch 2",IF(AF84&gt;=60,"Batch 3","Backlog")))</x:f>
        <x:v>Batch 3</x:v>
      </x:c>
      <x:c r="AH84" t="inlineStr">
        <x:is>
          <x:t xml:space="preserve"/>
        </x:is>
      </x:c>
    </x:row>
    <x:row r="85">
      <x:c r="A85" s="5" t="inlineStr">
        <x:is>
          <x:t xml:space="preserve">GPO-STA-03</x:t>
        </x:is>
      </x:c>
      <x:c r="B85" s="5" t="n">
        <x:v>81</x:v>
      </x:c>
      <x:c r="C85" s="5" t="inlineStr">
        <x:is>
          <x:t xml:space="preserve">Startup &amp; Business Builder</x:t>
        </x:is>
      </x:c>
      <x:c r="D85" s="5" t="inlineStr">
        <x:is>
          <x:t xml:space="preserve">Build</x:t>
        </x:is>
      </x:c>
      <x:c r="E85" s="5" t="inlineStr">
        <x:is>
          <x:t xml:space="preserve">Core 150</x:t>
        </x:is>
      </x:c>
      <x:c r="F85" s="5" t="n">
        <x:v>3</x:v>
      </x:c>
      <x:c r="G85" s="5" t="inlineStr">
        <x:is>
          <x:t xml:space="preserve">Tell me whether this business has moat or is just another commodity wrapper.</x:t>
        </x:is>
      </x:c>
      <x:c r="H85" s="6" t="n">
        <x:v>63</x:v>
      </x:c>
      <x:c r="I85" s="6" t="n">
        <x:v>63</x:v>
      </x:c>
      <x:c r="J85" s="7" t="n">
        <x:v>78</x:v>
      </x:c>
      <x:c r="K85" s="7" t="n">
        <x:v>70</x:v>
      </x:c>
      <x:c r="L85" s="8" t="inlineStr">
        <x:is>
          <x:t xml:space="preserve">UNTESTED</x:t>
        </x:is>
      </x:c>
      <x:c r="M85" s="9" t="inlineStr">
        <x:is>
          <x:t xml:space="preserve">UNTESTED</x:t>
        </x:is>
      </x:c>
      <x:c r="N85" s="5" t="inlineStr">
        <x:is>
          <x:t xml:space="preserve">strategy; product thinking; GTM reasoning; structured planning</x:t>
        </x:is>
      </x:c>
      <x:c r="O85" s="5" t="inlineStr">
        <x:is>
          <x:t xml:space="preserve">Medium</x:t>
        </x:is>
      </x:c>
      <x:c r="P85" s="5" t="inlineStr">
        <x:is>
          <x:t xml:space="preserve">High</x:t>
        </x:is>
      </x:c>
      <x:c r="Q85" s="5" t="inlineStr">
        <x:is>
          <x:t xml:space="preserve">Low</x:t>
        </x:is>
      </x:c>
      <x:c r="R85" s="5" t="inlineStr">
        <x:is>
          <x:t xml:space="preserve">Medium</x:t>
        </x:is>
      </x:c>
      <x:c r="S85" s="5" t="inlineStr">
        <x:is>
          <x:t xml:space="preserve">Low</x:t>
        </x:is>
      </x:c>
      <x:c r="T85" s="5" t="inlineStr">
        <x:is>
          <x:t xml:space="preserve">Claude + ChatGPT combo</x:t>
        </x:is>
      </x:c>
      <x:c r="U85" s="5" t="inlineStr">
        <x:is>
          <x:t xml:space="preserve">Easy</x:t>
        </x:is>
      </x:c>
      <x:c r="V85" s="10" t="n">
        <x:v>1</x:v>
      </x:c>
      <x:c r="W85" s="5" t="inlineStr">
        <x:is>
          <x:t xml:space="preserve">Plan generation + critique + strategic review</x:t>
        </x:is>
      </x:c>
      <x:c r="X85" s="5" t="inlineStr">
        <x:is>
          <x:t xml:space="preserve">roadmap / GTM plan / business memo</x:t>
        </x:is>
      </x:c>
      <x:c r="Y85" s="5" t="inlineStr">
        <x:is>
          <x:t xml:space="preserve">Recommendation is strategically sharp, prioritized, and grounded in market reality.</x:t>
        </x:is>
      </x:c>
      <x:c r="Z85" s="5" t="inlineStr">
        <x:is>
          <x:t xml:space="preserve">Buzzwordy output, no wedge, weak prioritization, or unearned confidence.</x:t>
        </x:is>
      </x:c>
      <x:c r="AA85" s="5" t="inlineStr">
        <x:is>
          <x:t xml:space="preserve">strategy templates / board logic / critique loop</x:t>
        </x:is>
      </x:c>
      <x:c r="AB85" s="5" t="inlineStr">
        <x:is>
          <x:t xml:space="preserve"/>
        </x:is>
      </x:c>
      <x:c r="AC8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85" s="5" t="inlineStr">
        <x:is>
          <x:t xml:space="preserve">OpenAI How People Use ChatGPT paper; Menlo State of Consumer AI 2025; Menlo AI UI Problem 2025</x:t>
        </x:is>
      </x:c>
      <x:c r="AE85" s="11">
        <x:f>IF(O85="High",20,IF(O85="Medium",10,IF(O85="Low",5,0)))+IF(P85="High",20,IF(P85="Medium",10,IF(P85="Low",5,0)))+IF(Q85="High",20,IF(Q85="Medium",10,IF(Q85="Low",5,0)))+IF(R85="High",20,IF(R85="Medium",10,IF(R85="Low",5,0)))+IF(S85="High",20,IF(S85="Medium",10,IF(S85="Low",5,0)))</x:f>
        <x:v>50</x:v>
      </x:c>
      <x:c r="AF85" s="12">
        <x:f>ROUND(H85*0.30+J85*0.25+K85*0.20+(100-AE85)*0.10+(100-(V85*20))*0.15,0)</x:f>
        <x:v>69</x:v>
      </x:c>
      <x:c r="AG85" s="13" t="str">
        <x:f>IF(AF85&gt;=80,"Batch 1",IF(AF85&gt;=70,"Batch 2",IF(AF85&gt;=60,"Batch 3","Backlog")))</x:f>
        <x:v>Batch 3</x:v>
      </x:c>
      <x:c r="AH85" t="inlineStr">
        <x:is>
          <x:t xml:space="preserve"/>
        </x:is>
      </x:c>
    </x:row>
    <x:row r="86">
      <x:c r="A86" s="5" t="inlineStr">
        <x:is>
          <x:t xml:space="preserve">GPO-LEA-12</x:t>
        </x:is>
      </x:c>
      <x:c r="B86" s="5" t="n">
        <x:v>82</x:v>
      </x:c>
      <x:c r="C86" s="5" t="inlineStr">
        <x:is>
          <x:t xml:space="preserve">Learning &amp; Tutoring</x:t>
        </x:is>
      </x:c>
      <x:c r="D86" s="5" t="inlineStr">
        <x:is>
          <x:t xml:space="preserve">Grow</x:t>
        </x:is>
      </x:c>
      <x:c r="E86" s="5" t="inlineStr">
        <x:is>
          <x:t xml:space="preserve">Expansion 150</x:t>
        </x:is>
      </x:c>
      <x:c r="F86" s="5" t="n">
        <x:v>12</x:v>
      </x:c>
      <x:c r="G86" s="5" t="inlineStr">
        <x:is>
          <x:t xml:space="preserve">Act like a strict interviewer/oral examiner and test my understanding of the subject.</x:t>
        </x:is>
      </x:c>
      <x:c r="H86" s="6" t="n">
        <x:v>61</x:v>
      </x:c>
      <x:c r="I86" s="6" t="n">
        <x:v>61</x:v>
      </x:c>
      <x:c r="J86" s="7" t="n">
        <x:v>81</x:v>
      </x:c>
      <x:c r="K86" s="7" t="n">
        <x:v>70</x:v>
      </x:c>
      <x:c r="L86" s="8" t="inlineStr">
        <x:is>
          <x:t xml:space="preserve">UNTESTED</x:t>
        </x:is>
      </x:c>
      <x:c r="M86" s="9" t="inlineStr">
        <x:is>
          <x:t xml:space="preserve">UNTESTED</x:t>
        </x:is>
      </x:c>
      <x:c r="N86" s="5" t="inlineStr">
        <x:is>
          <x:t xml:space="preserve">adaptive tutoring; curriculum planning; quiz generation; context retention</x:t>
        </x:is>
      </x:c>
      <x:c r="O86" s="5" t="inlineStr">
        <x:is>
          <x:t xml:space="preserve">Low</x:t>
        </x:is>
      </x:c>
      <x:c r="P86" s="5" t="inlineStr">
        <x:is>
          <x:t xml:space="preserve">High</x:t>
        </x:is>
      </x:c>
      <x:c r="Q86" s="5" t="inlineStr">
        <x:is>
          <x:t xml:space="preserve">Low</x:t>
        </x:is>
      </x:c>
      <x:c r="R86" s="5" t="inlineStr">
        <x:is>
          <x:t xml:space="preserve">Low</x:t>
        </x:is>
      </x:c>
      <x:c r="S86" s="5" t="inlineStr">
        <x:is>
          <x:t xml:space="preserve">Low</x:t>
        </x:is>
      </x:c>
      <x:c r="T86" s="5" t="inlineStr">
        <x:is>
          <x:t xml:space="preserve">ChatGPT primary</x:t>
        </x:is>
      </x:c>
      <x:c r="U86" s="5" t="inlineStr">
        <x:is>
          <x:t xml:space="preserve">Easy</x:t>
        </x:is>
      </x:c>
      <x:c r="V86" s="10" t="n">
        <x:v>1</x:v>
      </x:c>
      <x:c r="W86" s="5" t="inlineStr">
        <x:is>
          <x:t xml:space="preserve">Interactive tutoring session + quality review</x:t>
        </x:is>
      </x:c>
      <x:c r="X86" s="5" t="inlineStr">
        <x:is>
          <x:t xml:space="preserve">lesson / plan / quiz / explanation</x:t>
        </x:is>
      </x:c>
      <x:c r="Y86" s="5" t="inlineStr">
        <x:is>
          <x:t xml:space="preserve">Teaching is accurate, adaptive, and improves understanding rather than over-answering.</x:t>
        </x:is>
      </x:c>
      <x:c r="Z86" s="5" t="inlineStr">
        <x:is>
          <x:t xml:space="preserve">Wrong explanations, over-helping, no adaptation, or generic curriculum.</x:t>
        </x:is>
      </x:c>
      <x:c r="AA86" s="5" t="inlineStr">
        <x:is>
          <x:t xml:space="preserve">tutor mode / memory / scaffolding logic</x:t>
        </x:is>
      </x:c>
      <x:c r="AB86" s="5" t="inlineStr">
        <x:is>
          <x:t xml:space="preserve"/>
        </x:is>
      </x:c>
      <x:c r="AC86" s="5" t="inlineStr">
        <x:is>
          <x:t xml:space="preserve">OpenAI practical guidance includes tutoring; HEPI 2025 says 88% of students use GenAI for assessments, often to explain concepts and summarize articles.</x:t>
        </x:is>
      </x:c>
      <x:c r="AD86" s="5" t="inlineStr">
        <x:is>
          <x:t xml:space="preserve">OpenAI How People Use ChatGPT paper; HEPI Student Generative AI Survey 2025; Brookings 2026 tutoring article</x:t>
        </x:is>
      </x:c>
      <x:c r="AE86" s="11">
        <x:f>IF(O86="High",20,IF(O86="Medium",10,IF(O86="Low",5,0)))+IF(P86="High",20,IF(P86="Medium",10,IF(P86="Low",5,0)))+IF(Q86="High",20,IF(Q86="Medium",10,IF(Q86="Low",5,0)))+IF(R86="High",20,IF(R86="Medium",10,IF(R86="Low",5,0)))+IF(S86="High",20,IF(S86="Medium",10,IF(S86="Low",5,0)))</x:f>
        <x:v>40</x:v>
      </x:c>
      <x:c r="AF86" s="12">
        <x:f>ROUND(H86*0.30+J86*0.25+K86*0.20+(100-AE86)*0.10+(100-(V86*20))*0.15,0)</x:f>
        <x:v>71</x:v>
      </x:c>
      <x:c r="AG86" s="13" t="str">
        <x:f>IF(AF86&gt;=80,"Batch 1",IF(AF86&gt;=70,"Batch 2",IF(AF86&gt;=60,"Batch 3","Backlog")))</x:f>
        <x:v>Batch 2</x:v>
      </x:c>
      <x:c r="AH86" t="inlineStr">
        <x:is>
          <x:t xml:space="preserve"/>
        </x:is>
      </x:c>
    </x:row>
    <x:row r="87">
      <x:c r="A87" s="5" t="inlineStr">
        <x:is>
          <x:t xml:space="preserve">GPO-RES-12</x:t>
        </x:is>
      </x:c>
      <x:c r="B87" s="5" t="n">
        <x:v>83</x:v>
      </x:c>
      <x:c r="C87" s="5" t="inlineStr">
        <x:is>
          <x:t xml:space="preserve">Research &amp; Analysis</x:t>
        </x:is>
      </x:c>
      <x:c r="D87" s="5" t="inlineStr">
        <x:is>
          <x:t xml:space="preserve">Think</x:t>
        </x:is>
      </x:c>
      <x:c r="E87" s="5" t="inlineStr">
        <x:is>
          <x:t xml:space="preserve">Expansion 150</x:t>
        </x:is>
      </x:c>
      <x:c r="F87" s="5" t="n">
        <x:v>12</x:v>
      </x:c>
      <x:c r="G87" s="5" t="inlineStr">
        <x:is>
          <x:t xml:space="preserve">Monitor what changed recently about {topic} and summarize only the meaningful changes.</x:t>
        </x:is>
      </x:c>
      <x:c r="H87" s="6" t="n">
        <x:v>62</x:v>
      </x:c>
      <x:c r="I87" s="6" t="n">
        <x:v>62</x:v>
      </x:c>
      <x:c r="J87" s="7" t="n">
        <x:v>79</x:v>
      </x:c>
      <x:c r="K87" s="7" t="n">
        <x:v>70</x:v>
      </x:c>
      <x:c r="L87" s="8" t="inlineStr">
        <x:is>
          <x:t xml:space="preserve">UNTESTED</x:t>
        </x:is>
      </x:c>
      <x:c r="M87" s="9" t="inlineStr">
        <x:is>
          <x:t xml:space="preserve">UNTESTED</x:t>
        </x:is>
      </x:c>
      <x:c r="N87" s="5" t="inlineStr">
        <x:is>
          <x:t xml:space="preserve">web research; synthesis; citation discipline; decision framing</x:t>
        </x:is>
      </x:c>
      <x:c r="O87" s="5" t="inlineStr">
        <x:is>
          <x:t xml:space="preserve">High</x:t>
        </x:is>
      </x:c>
      <x:c r="P87" s="5" t="inlineStr">
        <x:is>
          <x:t xml:space="preserve">Medium</x:t>
        </x:is>
      </x:c>
      <x:c r="Q87" s="5" t="inlineStr">
        <x:is>
          <x:t xml:space="preserve">Medium</x:t>
        </x:is>
      </x:c>
      <x:c r="R87" s="5" t="inlineStr">
        <x:is>
          <x:t xml:space="preserve">Medium</x:t>
        </x:is>
      </x:c>
      <x:c r="S87" s="5" t="inlineStr">
        <x:is>
          <x:t xml:space="preserve">Low</x:t>
        </x:is>
      </x:c>
      <x:c r="T87" s="5" t="inlineStr">
        <x:is>
          <x:t xml:space="preserve">ChatGPT with web; Claude for synthesis</x:t>
        </x:is>
      </x:c>
      <x:c r="U87" s="5" t="inlineStr">
        <x:is>
          <x:t xml:space="preserve">Easy</x:t>
        </x:is>
      </x:c>
      <x:c r="V87" s="10" t="n">
        <x:v>1</x:v>
      </x:c>
      <x:c r="W87" s="5" t="inlineStr">
        <x:is>
          <x:t xml:space="preserve">Live research + source validation + recommendation review</x:t>
        </x:is>
      </x:c>
      <x:c r="X87" s="5" t="inlineStr">
        <x:is>
          <x:t xml:space="preserve">brief / comparison / decision memo / risk analysis</x:t>
        </x:is>
      </x:c>
      <x:c r="Y87" s="5" t="inlineStr">
        <x:is>
          <x:t xml:space="preserve">Accurate synthesis with evidence, tradeoffs, and a concrete recommendation.</x:t>
        </x:is>
      </x:c>
      <x:c r="Z87" s="5" t="inlineStr">
        <x:is>
          <x:t xml:space="preserve">Stale facts, no citations, weak reasoning, or surface-level synthesis.</x:t>
        </x:is>
      </x:c>
      <x:c r="AA87" s="5" t="inlineStr">
        <x:is>
          <x:t xml:space="preserve">web integration / citation enforcement / analysis rubric</x:t>
        </x:is>
      </x:c>
      <x:c r="AB87" s="5" t="inlineStr">
        <x:is>
          <x:t xml:space="preserve"/>
        </x:is>
      </x:c>
      <x:c r="AC87" s="5" t="inlineStr">
        <x:is>
          <x:t xml:space="preserve">OpenAI usage paper: Seeking Information is in top 3 categories; work/advice/search are common across Deloitte and OpenAI.</x:t>
        </x:is>
      </x:c>
      <x:c r="AD87" s="5" t="inlineStr">
        <x:is>
          <x:t xml:space="preserve">OpenAI How People Use ChatGPT paper; Deloitte Connected Consumer 2025</x:t>
        </x:is>
      </x:c>
      <x:c r="AE87" s="11">
        <x:f>IF(O87="High",20,IF(O87="Medium",10,IF(O87="Low",5,0)))+IF(P87="High",20,IF(P87="Medium",10,IF(P87="Low",5,0)))+IF(Q87="High",20,IF(Q87="Medium",10,IF(Q87="Low",5,0)))+IF(R87="High",20,IF(R87="Medium",10,IF(R87="Low",5,0)))+IF(S87="High",20,IF(S87="Medium",10,IF(S87="Low",5,0)))</x:f>
        <x:v>55</x:v>
      </x:c>
      <x:c r="AF87" s="12">
        <x:f>ROUND(H87*0.30+J87*0.25+K87*0.20+(100-AE87)*0.10+(100-(V87*20))*0.15,0)</x:f>
        <x:v>69</x:v>
      </x:c>
      <x:c r="AG87" s="13" t="str">
        <x:f>IF(AF87&gt;=80,"Batch 1",IF(AF87&gt;=70,"Batch 2",IF(AF87&gt;=60,"Batch 3","Backlog")))</x:f>
        <x:v>Batch 3</x:v>
      </x:c>
      <x:c r="AH87" t="inlineStr">
        <x:is>
          <x:t xml:space="preserve"/>
        </x:is>
      </x:c>
    </x:row>
    <x:row r="88">
      <x:c r="A88" s="5" t="inlineStr">
        <x:is>
          <x:t xml:space="preserve">GPO-SCH-10</x:t>
        </x:is>
      </x:c>
      <x:c r="B88" s="5" t="n">
        <x:v>84</x:v>
      </x:c>
      <x:c r="C88" s="5" t="inlineStr">
        <x:is>
          <x:t xml:space="preserve">Scheduling &amp; Life Operations</x:t>
        </x:is>
      </x:c>
      <x:c r="D88" s="5" t="inlineStr">
        <x:is>
          <x:t xml:space="preserve">Operate</x:t>
        </x:is>
      </x:c>
      <x:c r="E88" s="5" t="inlineStr">
        <x:is>
          <x:t xml:space="preserve">Core 150</x:t>
        </x:is>
      </x:c>
      <x:c r="F88" s="5" t="n">
        <x:v>10</x:v>
      </x:c>
      <x:c r="G88" s="5" t="inlineStr">
        <x:is>
          <x:t xml:space="preserve">Help me prepare for a busy week with meals, workouts, work blocks, and errands.</x:t>
        </x:is>
      </x:c>
      <x:c r="H88" s="6" t="n">
        <x:v>62</x:v>
      </x:c>
      <x:c r="I88" s="6" t="n">
        <x:v>62</x:v>
      </x:c>
      <x:c r="J88" s="7" t="n">
        <x:v>79</x:v>
      </x:c>
      <x:c r="K88" s="7" t="n">
        <x:v>70</x:v>
      </x:c>
      <x:c r="L88" s="8" t="inlineStr">
        <x:is>
          <x:t xml:space="preserve">UNTESTED</x:t>
        </x:is>
      </x:c>
      <x:c r="M88" s="9" t="inlineStr">
        <x:is>
          <x:t xml:space="preserve">UNTESTED</x:t>
        </x:is>
      </x:c>
      <x:c r="N88" s="5" t="inlineStr">
        <x:is>
          <x:t xml:space="preserve">task planning; prioritization; calendar reasoning; personal constraints handling</x:t>
        </x:is>
      </x:c>
      <x:c r="O88" s="5" t="inlineStr">
        <x:is>
          <x:t xml:space="preserve">Low</x:t>
        </x:is>
      </x:c>
      <x:c r="P88" s="5" t="inlineStr">
        <x:is>
          <x:t xml:space="preserve">High</x:t>
        </x:is>
      </x:c>
      <x:c r="Q88" s="5" t="inlineStr">
        <x:is>
          <x:t xml:space="preserve">Medium</x:t>
        </x:is>
      </x:c>
      <x:c r="R88" s="5" t="inlineStr">
        <x:is>
          <x:t xml:space="preserve">Low</x:t>
        </x:is>
      </x:c>
      <x:c r="S88" s="5" t="inlineStr">
        <x:is>
          <x:t xml:space="preserve">Low</x:t>
        </x:is>
      </x:c>
      <x:c r="T88" s="5" t="inlineStr">
        <x:is>
          <x:t xml:space="preserve">ChatGPT primary; calendar integrations later</x:t>
        </x:is>
      </x:c>
      <x:c r="U88" s="5" t="inlineStr">
        <x:is>
          <x:t xml:space="preserve">Easy</x:t>
        </x:is>
      </x:c>
      <x:c r="V88" s="10" t="n">
        <x:v>1</x:v>
      </x:c>
      <x:c r="W88" s="5" t="inlineStr">
        <x:is>
          <x:t xml:space="preserve">Scenario-based planning + operator utility review</x:t>
        </x:is>
      </x:c>
      <x:c r="X88" s="5" t="inlineStr">
        <x:is>
          <x:t xml:space="preserve">schedule / checklist / operating plan</x:t>
        </x:is>
      </x:c>
      <x:c r="Y88" s="5" t="inlineStr">
        <x:is>
          <x:t xml:space="preserve">Plan is realistic, prioritized, and executable under stated constraints.</x:t>
        </x:is>
      </x:c>
      <x:c r="Z88" s="5" t="inlineStr">
        <x:is>
          <x:t xml:space="preserve">Overpacked schedule, ignored constraints, or vague next steps.</x:t>
        </x:is>
      </x:c>
      <x:c r="AA88" s="5" t="inlineStr">
        <x:is>
          <x:t xml:space="preserve">planner engine / memory / calendar-tool integration</x:t>
        </x:is>
      </x:c>
      <x:c r="AB88" s="5" t="inlineStr">
        <x:is>
          <x:t xml:space="preserve"/>
        </x:is>
      </x:c>
      <x:c r="AC88" s="5" t="inlineStr">
        <x:is>
          <x:t xml:space="preserve">Menlo consumer AI: 18% use AI to manage to-do lists and 15% to organize notes; Zao-Sanders ranked 'Organise my life' #2.</x:t>
        </x:is>
      </x:c>
      <x:c r="AD88" s="5" t="inlineStr">
        <x:is>
          <x:t xml:space="preserve">Menlo State of Consumer AI 2025; Zao-Sanders Top-100 GenAI Use Cases 2025</x:t>
        </x:is>
      </x:c>
      <x:c r="AE88" s="11">
        <x:f>IF(O88="High",20,IF(O88="Medium",10,IF(O88="Low",5,0)))+IF(P88="High",20,IF(P88="Medium",10,IF(P88="Low",5,0)))+IF(Q88="High",20,IF(Q88="Medium",10,IF(Q88="Low",5,0)))+IF(R88="High",20,IF(R88="Medium",10,IF(R88="Low",5,0)))+IF(S88="High",20,IF(S88="Medium",10,IF(S88="Low",5,0)))</x:f>
        <x:v>45</x:v>
      </x:c>
      <x:c r="AF88" s="12">
        <x:f>ROUND(H88*0.30+J88*0.25+K88*0.20+(100-AE88)*0.10+(100-(V88*20))*0.15,0)</x:f>
        <x:v>70</x:v>
      </x:c>
      <x:c r="AG88" s="13" t="str">
        <x:f>IF(AF88&gt;=80,"Batch 1",IF(AF88&gt;=70,"Batch 2",IF(AF88&gt;=60,"Batch 3","Backlog")))</x:f>
        <x:v>Batch 2</x:v>
      </x:c>
      <x:c r="AH88" t="inlineStr">
        <x:is>
          <x:t xml:space="preserve"/>
        </x:is>
      </x:c>
    </x:row>
    <x:row r="89">
      <x:c r="A89" s="5" t="inlineStr">
        <x:is>
          <x:t xml:space="preserve">GPO-SHO-08</x:t>
        </x:is>
      </x:c>
      <x:c r="B89" s="5" t="n">
        <x:v>85</x:v>
      </x:c>
      <x:c r="C89" s="5" t="inlineStr">
        <x:is>
          <x:t xml:space="preserve">Shopping &amp; Buying Advisor</x:t>
        </x:is>
      </x:c>
      <x:c r="D89" s="5" t="inlineStr">
        <x:is>
          <x:t xml:space="preserve">Buy</x:t>
        </x:is>
      </x:c>
      <x:c r="E89" s="5" t="inlineStr">
        <x:is>
          <x:t xml:space="preserve">Core 150</x:t>
        </x:is>
      </x:c>
      <x:c r="F89" s="5" t="n">
        <x:v>8</x:v>
      </x:c>
      <x:c r="G89" s="5" t="inlineStr">
        <x:is>
          <x:t xml:space="preserve">Summarize the real user complaints about this product before I buy.</x:t>
        </x:is>
      </x:c>
      <x:c r="H89" s="6" t="n">
        <x:v>62</x:v>
      </x:c>
      <x:c r="I89" s="6" t="n">
        <x:v>62</x:v>
      </x:c>
      <x:c r="J89" s="7" t="n">
        <x:v>79</x:v>
      </x:c>
      <x:c r="K89" s="7" t="n">
        <x:v>70</x:v>
      </x:c>
      <x:c r="L89" s="8" t="inlineStr">
        <x:is>
          <x:t xml:space="preserve">UNTESTED</x:t>
        </x:is>
      </x:c>
      <x:c r="M89" s="9" t="inlineStr">
        <x:is>
          <x:t xml:space="preserve">UNTESTED</x:t>
        </x:is>
      </x:c>
      <x:c r="N89" s="5" t="inlineStr">
        <x:is>
          <x:t xml:space="preserve">web/product research; comparison; price-value reasoning; shortlist generation</x:t>
        </x:is>
      </x:c>
      <x:c r="O89" s="5" t="inlineStr">
        <x:is>
          <x:t xml:space="preserve">High</x:t>
        </x:is>
      </x:c>
      <x:c r="P89" s="5" t="inlineStr">
        <x:is>
          <x:t xml:space="preserve">Medium</x:t>
        </x:is>
      </x:c>
      <x:c r="Q89" s="5" t="inlineStr">
        <x:is>
          <x:t xml:space="preserve">Medium</x:t>
        </x:is>
      </x:c>
      <x:c r="R89" s="5" t="inlineStr">
        <x:is>
          <x:t xml:space="preserve">Low</x:t>
        </x:is>
      </x:c>
      <x:c r="S89" s="5" t="inlineStr">
        <x:is>
          <x:t xml:space="preserve">Low</x:t>
        </x:is>
      </x:c>
      <x:c r="T89" s="5" t="inlineStr">
        <x:is>
          <x:t xml:space="preserve">ChatGPT with web</x:t>
        </x:is>
      </x:c>
      <x:c r="U89" s="5" t="inlineStr">
        <x:is>
          <x:t xml:space="preserve">Easy</x:t>
        </x:is>
      </x:c>
      <x:c r="V89" s="10" t="n">
        <x:v>1</x:v>
      </x:c>
      <x:c r="W89" s="5" t="inlineStr">
        <x:is>
          <x:t xml:space="preserve">Live shopping query + recommendation validation</x:t>
        </x:is>
      </x:c>
      <x:c r="X89" s="5" t="inlineStr">
        <x:is>
          <x:t xml:space="preserve">shortlist / recommendation / comparison / cart plan</x:t>
        </x:is>
      </x:c>
      <x:c r="Y89" s="5" t="inlineStr">
        <x:is>
          <x:t xml:space="preserve">Recommendation fits constraints and explains tradeoffs clearly.</x:t>
        </x:is>
      </x:c>
      <x:c r="Z89" s="5" t="inlineStr">
        <x:is>
          <x:t xml:space="preserve">Outdated products, poor fit, missed constraints, or shallow comparison.</x:t>
        </x:is>
      </x:c>
      <x:c r="AA89" s="5" t="inlineStr">
        <x:is>
          <x:t xml:space="preserve">web/product retrieval / comparison template / user preference memory</x:t>
        </x:is>
      </x:c>
      <x:c r="AB89" s="5" t="inlineStr">
        <x:is>
          <x:t xml:space="preserve"/>
        </x:is>
      </x:c>
      <x:c r="AC89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89" s="5" t="inlineStr">
        <x:is>
          <x:t xml:space="preserve">Deloitte Connected Consumer 2025; Salesforce Connected Shopper 2025; IAB 2025 shopping study</x:t>
        </x:is>
      </x:c>
      <x:c r="AE89" s="11">
        <x:f>IF(O89="High",20,IF(O89="Medium",10,IF(O89="Low",5,0)))+IF(P89="High",20,IF(P89="Medium",10,IF(P89="Low",5,0)))+IF(Q89="High",20,IF(Q89="Medium",10,IF(Q89="Low",5,0)))+IF(R89="High",20,IF(R89="Medium",10,IF(R89="Low",5,0)))+IF(S89="High",20,IF(S89="Medium",10,IF(S89="Low",5,0)))</x:f>
        <x:v>50</x:v>
      </x:c>
      <x:c r="AF89" s="12">
        <x:f>ROUND(H89*0.30+J89*0.25+K89*0.20+(100-AE89)*0.10+(100-(V89*20))*0.15,0)</x:f>
        <x:v>69</x:v>
      </x:c>
      <x:c r="AG89" s="13" t="str">
        <x:f>IF(AF89&gt;=80,"Batch 1",IF(AF89&gt;=70,"Batch 2",IF(AF89&gt;=60,"Batch 3","Backlog")))</x:f>
        <x:v>Batch 3</x:v>
      </x:c>
      <x:c r="AH89" t="inlineStr">
        <x:is>
          <x:t xml:space="preserve"/>
        </x:is>
      </x:c>
    </x:row>
    <x:row r="90">
      <x:c r="A90" s="5" t="inlineStr">
        <x:is>
          <x:t xml:space="preserve">GPO-CAR-04</x:t>
        </x:is>
      </x:c>
      <x:c r="B90" s="5" t="n">
        <x:v>86</x:v>
      </x:c>
      <x:c r="C90" s="5" t="inlineStr">
        <x:is>
          <x:t xml:space="preserve">Career &amp; Job Search</x:t>
        </x:is>
      </x:c>
      <x:c r="D90" s="5" t="inlineStr">
        <x:is>
          <x:t xml:space="preserve">Advance</x:t>
        </x:is>
      </x:c>
      <x:c r="E90" s="5" t="inlineStr">
        <x:is>
          <x:t xml:space="preserve">Core 150</x:t>
        </x:is>
      </x:c>
      <x:c r="F90" s="5" t="n">
        <x:v>4</x:v>
      </x:c>
      <x:c r="G90" s="5" t="inlineStr">
        <x:is>
          <x:t xml:space="preserve">Tell me what roles I should realistically target next based on my background.</x:t>
        </x:is>
      </x:c>
      <x:c r="H90" s="6" t="n">
        <x:v>60</x:v>
      </x:c>
      <x:c r="I90" s="6" t="n">
        <x:v>60</x:v>
      </x:c>
      <x:c r="J90" s="7" t="n">
        <x:v>82</x:v>
      </x:c>
      <x:c r="K90" s="7" t="n">
        <x:v>70</x:v>
      </x:c>
      <x:c r="L90" s="8" t="inlineStr">
        <x:is>
          <x:t xml:space="preserve">UNTESTED</x:t>
        </x:is>
      </x:c>
      <x:c r="M90" s="9" t="inlineStr">
        <x:is>
          <x:t xml:space="preserve">UNTESTED</x:t>
        </x:is>
      </x:c>
      <x:c r="N90" s="5" t="inlineStr">
        <x:is>
          <x:t xml:space="preserve">resume tailoring; interview prep; role mapping; narrative building</x:t>
        </x:is>
      </x:c>
      <x:c r="O90" s="5" t="inlineStr">
        <x:is>
          <x:t xml:space="preserve">Medium</x:t>
        </x:is>
      </x:c>
      <x:c r="P90" s="5" t="inlineStr">
        <x:is>
          <x:t xml:space="preserve">High</x:t>
        </x:is>
      </x:c>
      <x:c r="Q90" s="5" t="inlineStr">
        <x:is>
          <x:t xml:space="preserve">Low</x:t>
        </x:is>
      </x:c>
      <x:c r="R90" s="5" t="inlineStr">
        <x:is>
          <x:t xml:space="preserve">Low</x:t>
        </x:is>
      </x:c>
      <x:c r="S90" s="5" t="inlineStr">
        <x:is>
          <x:t xml:space="preserve">Low</x:t>
        </x:is>
      </x:c>
      <x:c r="T90" s="5" t="inlineStr">
        <x:is>
          <x:t xml:space="preserve">ChatGPT primary</x:t>
        </x:is>
      </x:c>
      <x:c r="U90" s="5" t="inlineStr">
        <x:is>
          <x:t xml:space="preserve">Easy</x:t>
        </x:is>
      </x:c>
      <x:c r="V90" s="10" t="n">
        <x:v>1</x:v>
      </x:c>
      <x:c r="W90" s="5" t="inlineStr">
        <x:is>
          <x:t xml:space="preserve">Artifact review + mock interview + targeting review</x:t>
        </x:is>
      </x:c>
      <x:c r="X90" s="5" t="inlineStr">
        <x:is>
          <x:t xml:space="preserve">resume / prep plan / outreach / strategy memo</x:t>
        </x:is>
      </x:c>
      <x:c r="Y90" s="5" t="inlineStr">
        <x:is>
          <x:t xml:space="preserve">Career outputs are specific, credible, and materially improve positioning.</x:t>
        </x:is>
      </x:c>
      <x:c r="Z90" s="5" t="inlineStr">
        <x:is>
          <x:t xml:space="preserve">Generic resume language, fake-sounding stories, or weak role fit.</x:t>
        </x:is>
      </x:c>
      <x:c r="AA90" s="5" t="inlineStr">
        <x:is>
          <x:t xml:space="preserve">career templates / memory / ATS-aware output logic</x:t>
        </x:is>
      </x:c>
      <x:c r="AB90" s="5" t="inlineStr">
        <x:is>
          <x:t xml:space="preserve"/>
        </x:is>
      </x:c>
      <x:c r="AC90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90" s="5" t="inlineStr">
        <x:is>
          <x:t xml:space="preserve">Insight Global AI in Hiring Report 2025; NACE student survey 2025/2026</x:t>
        </x:is>
      </x:c>
      <x:c r="AE90" s="11">
        <x:f>IF(O90="High",20,IF(O90="Medium",10,IF(O90="Low",5,0)))+IF(P90="High",20,IF(P90="Medium",10,IF(P90="Low",5,0)))+IF(Q90="High",20,IF(Q90="Medium",10,IF(Q90="Low",5,0)))+IF(R90="High",20,IF(R90="Medium",10,IF(R90="Low",5,0)))+IF(S90="High",20,IF(S90="Medium",10,IF(S90="Low",5,0)))</x:f>
        <x:v>45</x:v>
      </x:c>
      <x:c r="AF90" s="12">
        <x:f>ROUND(H90*0.30+J90*0.25+K90*0.20+(100-AE90)*0.10+(100-(V90*20))*0.15,0)</x:f>
        <x:v>70</x:v>
      </x:c>
      <x:c r="AG90" s="13" t="str">
        <x:f>IF(AF90&gt;=80,"Batch 1",IF(AF90&gt;=70,"Batch 2",IF(AF90&gt;=60,"Batch 3","Backlog")))</x:f>
        <x:v>Batch 2</x:v>
      </x:c>
      <x:c r="AH90" t="inlineStr">
        <x:is>
          <x:t xml:space="preserve"/>
        </x:is>
      </x:c>
    </x:row>
    <x:row r="91">
      <x:c r="A91" s="5" t="inlineStr">
        <x:is>
          <x:t xml:space="preserve">GPO-HEA-01</x:t>
        </x:is>
      </x:c>
      <x:c r="B91" s="5" t="n">
        <x:v>87</x:v>
      </x:c>
      <x:c r="C91" s="5" t="inlineStr">
        <x:is>
          <x:t xml:space="preserve">Health &amp; Wellness Coach</x:t>
        </x:is>
      </x:c>
      <x:c r="D91" s="5" t="inlineStr">
        <x:is>
          <x:t xml:space="preserve">Care</x:t>
        </x:is>
      </x:c>
      <x:c r="E91" s="5" t="inlineStr">
        <x:is>
          <x:t xml:space="preserve">Core 150</x:t>
        </x:is>
      </x:c>
      <x:c r="F91" s="5" t="n">
        <x:v>1</x:v>
      </x:c>
      <x:c r="G91" s="5" t="inlineStr">
        <x:is>
          <x:t xml:space="preserve">Help me understand what might be causing this symptom and what should make me seek urgent care.</x:t>
        </x:is>
      </x:c>
      <x:c r="H91" s="6" t="n">
        <x:v>74</x:v>
      </x:c>
      <x:c r="I91" s="6" t="n">
        <x:v>74</x:v>
      </x:c>
      <x:c r="J91" s="7" t="n">
        <x:v>62</x:v>
      </x:c>
      <x:c r="K91" s="7" t="n">
        <x:v>69</x:v>
      </x:c>
      <x:c r="L91" s="8" t="inlineStr">
        <x:is>
          <x:t xml:space="preserve">UNTESTED</x:t>
        </x:is>
      </x:c>
      <x:c r="M91" s="9" t="inlineStr">
        <x:is>
          <x:t xml:space="preserve">UNTESTED</x:t>
        </x:is>
      </x:c>
      <x:c r="N91" s="5" t="inlineStr">
        <x:is>
          <x:t xml:space="preserve">health explanation; risk framing; behavior coaching; careful disclaimer handling</x:t>
        </x:is>
      </x:c>
      <x:c r="O91" s="5" t="inlineStr">
        <x:is>
          <x:t xml:space="preserve">Medium</x:t>
        </x:is>
      </x:c>
      <x:c r="P91" s="5" t="inlineStr">
        <x:is>
          <x:t xml:space="preserve">High</x:t>
        </x:is>
      </x:c>
      <x:c r="Q91" s="5" t="inlineStr">
        <x:is>
          <x:t xml:space="preserve">Low</x:t>
        </x:is>
      </x:c>
      <x:c r="R91" s="5" t="inlineStr">
        <x:is>
          <x:t xml:space="preserve">Low</x:t>
        </x:is>
      </x:c>
      <x:c r="S91" s="5" t="inlineStr">
        <x:is>
          <x:t xml:space="preserve">Medium</x:t>
        </x:is>
      </x:c>
      <x:c r="T91" s="5" t="inlineStr">
        <x:is>
          <x:t xml:space="preserve">ChatGPT primary with careful guardrails</x:t>
        </x:is>
      </x:c>
      <x:c r="U91" s="5" t="inlineStr">
        <x:is>
          <x:t xml:space="preserve">Medium</x:t>
        </x:is>
      </x:c>
      <x:c r="V91" s="10" t="n">
        <x:v>2</x:v>
      </x:c>
      <x:c r="W91" s="5" t="inlineStr">
        <x:is>
          <x:t xml:space="preserve">Scenario prompts + safety review + usefulness review</x:t>
        </x:is>
      </x:c>
      <x:c r="X91" s="5" t="inlineStr">
        <x:is>
          <x:t xml:space="preserve">plan / explanation / checklist / prep brief</x:t>
        </x:is>
      </x:c>
      <x:c r="Y91" s="5" t="inlineStr">
        <x:is>
          <x:t xml:space="preserve">Useful, cautious, practical guidance that stays within safe boundaries.</x:t>
        </x:is>
      </x:c>
      <x:c r="Z91" s="5" t="inlineStr">
        <x:is>
          <x:t xml:space="preserve">Overconfident medical claims, weak escalation guidance, or unsafe advice.</x:t>
        </x:is>
      </x:c>
      <x:c r="AA91" s="5" t="inlineStr">
        <x:is>
          <x:t xml:space="preserve">safety layer / health mode / evidence grounding</x:t>
        </x:is>
      </x:c>
      <x:c r="AB91" s="5" t="inlineStr">
        <x:is>
          <x:t xml:space="preserve"/>
        </x:is>
      </x:c>
      <x:c r="AC91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91" s="5" t="inlineStr">
        <x:is>
          <x:t xml:space="preserve">OpenAI Introducing GPT-5; APPC 2025 health survey; Deloitte Connected Consumer 2025</x:t>
        </x:is>
      </x:c>
      <x:c r="AE91" s="11">
        <x:f>IF(O91="High",20,IF(O91="Medium",10,IF(O91="Low",5,0)))+IF(P91="High",20,IF(P91="Medium",10,IF(P91="Low",5,0)))+IF(Q91="High",20,IF(Q91="Medium",10,IF(Q91="Low",5,0)))+IF(R91="High",20,IF(R91="Medium",10,IF(R91="Low",5,0)))+IF(S91="High",20,IF(S91="Medium",10,IF(S91="Low",5,0)))</x:f>
        <x:v>50</x:v>
      </x:c>
      <x:c r="AF91" s="12">
        <x:f>ROUND(H91*0.30+J91*0.25+K91*0.20+(100-AE91)*0.10+(100-(V91*20))*0.15,0)</x:f>
        <x:v>66</x:v>
      </x:c>
      <x:c r="AG91" s="13" t="str">
        <x:f>IF(AF91&gt;=80,"Batch 1",IF(AF91&gt;=70,"Batch 2",IF(AF91&gt;=60,"Batch 3","Backlog")))</x:f>
        <x:v>Batch 3</x:v>
      </x:c>
      <x:c r="AH91" t="inlineStr">
        <x:is>
          <x:t xml:space="preserve"/>
        </x:is>
      </x:c>
    </x:row>
    <x:row r="92">
      <x:c r="A92" s="5" t="inlineStr">
        <x:is>
          <x:t xml:space="preserve">GPO-WRI-15</x:t>
        </x:is>
      </x:c>
      <x:c r="B92" s="5" t="n">
        <x:v>88</x:v>
      </x:c>
      <x:c r="C92" s="5" t="inlineStr">
        <x:is>
          <x:t xml:space="preserve">Writing &amp; Documentation</x:t>
        </x:is>
      </x:c>
      <x:c r="D92" s="5" t="inlineStr">
        <x:is>
          <x:t xml:space="preserve">Create</x:t>
        </x:is>
      </x:c>
      <x:c r="E92" s="5" t="inlineStr">
        <x:is>
          <x:t xml:space="preserve">Expansion 150</x:t>
        </x:is>
      </x:c>
      <x:c r="F92" s="5" t="n">
        <x:v>15</x:v>
      </x:c>
      <x:c r="G92" s="5" t="inlineStr">
        <x:is>
          <x:t xml:space="preserve">Write investor-ready messaging for the product without hype or fluff.</x:t>
        </x:is>
      </x:c>
      <x:c r="H92" s="6" t="n">
        <x:v>59</x:v>
      </x:c>
      <x:c r="I92" s="6" t="n">
        <x:v>59</x:v>
      </x:c>
      <x:c r="J92" s="7" t="n">
        <x:v>83</x:v>
      </x:c>
      <x:c r="K92" s="7" t="n">
        <x:v>70</x:v>
      </x:c>
      <x:c r="L92" s="8" t="inlineStr">
        <x:is>
          <x:t xml:space="preserve">UNTESTED</x:t>
        </x:is>
      </x:c>
      <x:c r="M92" s="9" t="inlineStr">
        <x:is>
          <x:t xml:space="preserve">UNTESTED</x:t>
        </x:is>
      </x:c>
      <x:c r="N92" s="5" t="inlineStr">
        <x:is>
          <x:t xml:space="preserve">writing quality; summarization; style control; structured artifacts</x:t>
        </x:is>
      </x:c>
      <x:c r="O92" s="5" t="inlineStr">
        <x:is>
          <x:t xml:space="preserve">Low</x:t>
        </x:is>
      </x:c>
      <x:c r="P92" s="5" t="inlineStr">
        <x:is>
          <x:t xml:space="preserve">Medium</x:t>
        </x:is>
      </x:c>
      <x:c r="Q92" s="5" t="inlineStr">
        <x:is>
          <x:t xml:space="preserve">Low</x:t>
        </x:is>
      </x:c>
      <x:c r="R92" s="5" t="inlineStr">
        <x:is>
          <x:t xml:space="preserve">Low</x:t>
        </x:is>
      </x:c>
      <x:c r="S92" s="5" t="inlineStr">
        <x:is>
          <x:t xml:space="preserve">Low</x:t>
        </x:is>
      </x:c>
      <x:c r="T92" s="5" t="inlineStr">
        <x:is>
          <x:t xml:space="preserve">ChatGPT or Claude; human review optional</x:t>
        </x:is>
      </x:c>
      <x:c r="U92" s="5" t="inlineStr">
        <x:is>
          <x:t xml:space="preserve">Easy</x:t>
        </x:is>
      </x:c>
      <x:c r="V92" s="10" t="n">
        <x:v>1</x:v>
      </x:c>
      <x:c r="W92" s="5" t="inlineStr">
        <x:is>
          <x:t xml:space="preserve">Prompt execution + artifact quality review</x:t>
        </x:is>
      </x:c>
      <x:c r="X92" s="5" t="inlineStr">
        <x:is>
          <x:t xml:space="preserve">doc / memo / email / FAQ / summary</x:t>
        </x:is>
      </x:c>
      <x:c r="Y92" s="5" t="inlineStr">
        <x:is>
          <x:t xml:space="preserve">Output is clear, tailored, structurally sound, and immediately usable.</x:t>
        </x:is>
      </x:c>
      <x:c r="Z92" s="5" t="inlineStr">
        <x:is>
          <x:t xml:space="preserve">Generic tone, missing context, weak structure, or wrong audience level.</x:t>
        </x:is>
      </x:c>
      <x:c r="AA92" s="5" t="inlineStr">
        <x:is>
          <x:t xml:space="preserve">prompt pack / style guidance / output schema</x:t>
        </x:is>
      </x:c>
      <x:c r="AB92" s="5" t="inlineStr">
        <x:is>
          <x:t xml:space="preserve"/>
        </x:is>
      </x:c>
      <x:c r="AC92" s="5" t="inlineStr">
        <x:is>
          <x:t xml:space="preserve">OpenAI usage paper: Writing is in top 3 categories; Menlo consumer AI says 19% use AI to write emails and 18% get writing support.</x:t>
        </x:is>
      </x:c>
      <x:c r="AD92" s="5" t="inlineStr">
        <x:is>
          <x:t xml:space="preserve">OpenAI How People Use ChatGPT paper; Menlo State of Consumer AI 2025</x:t>
        </x:is>
      </x:c>
      <x:c r="AE92" s="11">
        <x:f>IF(O92="High",20,IF(O92="Medium",10,IF(O92="Low",5,0)))+IF(P92="High",20,IF(P92="Medium",10,IF(P92="Low",5,0)))+IF(Q92="High",20,IF(Q92="Medium",10,IF(Q92="Low",5,0)))+IF(R92="High",20,IF(R92="Medium",10,IF(R92="Low",5,0)))+IF(S92="High",20,IF(S92="Medium",10,IF(S92="Low",5,0)))</x:f>
        <x:v>30</x:v>
      </x:c>
      <x:c r="AF92" s="12">
        <x:f>ROUND(H92*0.30+J92*0.25+K92*0.20+(100-AE92)*0.10+(100-(V92*20))*0.15,0)</x:f>
        <x:v>71</x:v>
      </x:c>
      <x:c r="AG92" s="13" t="str">
        <x:f>IF(AF92&gt;=80,"Batch 1",IF(AF92&gt;=70,"Batch 2",IF(AF92&gt;=60,"Batch 3","Backlog")))</x:f>
        <x:v>Batch 2</x:v>
      </x:c>
      <x:c r="AH92" t="inlineStr">
        <x:is>
          <x:t xml:space="preserve"/>
        </x:is>
      </x:c>
    </x:row>
    <x:row r="93">
      <x:c r="A93" s="5" t="inlineStr">
        <x:is>
          <x:t xml:space="preserve">GPO-PER-04</x:t>
        </x:is>
      </x:c>
      <x:c r="B93" s="5" t="n">
        <x:v>89</x:v>
      </x:c>
      <x:c r="C93" s="5" t="inlineStr">
        <x:is>
          <x:t xml:space="preserve">Personal Finance &amp; Investing</x:t>
        </x:is>
      </x:c>
      <x:c r="D93" s="5" t="inlineStr">
        <x:is>
          <x:t xml:space="preserve">Money</x:t>
        </x:is>
      </x:c>
      <x:c r="E93" s="5" t="inlineStr">
        <x:is>
          <x:t xml:space="preserve">Core 150</x:t>
        </x:is>
      </x:c>
      <x:c r="F93" s="5" t="n">
        <x:v>4</x:v>
      </x:c>
      <x:c r="G93" s="5" t="inlineStr">
        <x:is>
          <x:t xml:space="preserve">Model how long it takes to reach my savings goal under different scenarios.</x:t>
        </x:is>
      </x:c>
      <x:c r="H93" s="6" t="n">
        <x:v>64</x:v>
      </x:c>
      <x:c r="I93" s="6" t="n">
        <x:v>64</x:v>
      </x:c>
      <x:c r="J93" s="7" t="n">
        <x:v>76</x:v>
      </x:c>
      <x:c r="K93" s="7" t="n">
        <x:v>69</x:v>
      </x:c>
      <x:c r="L93" s="8" t="inlineStr">
        <x:is>
          <x:t xml:space="preserve">UNTESTED</x:t>
        </x:is>
      </x:c>
      <x:c r="M93" s="9" t="inlineStr">
        <x:is>
          <x:t xml:space="preserve">UNTESTED</x:t>
        </x:is>
      </x:c>
      <x:c r="N93" s="5" t="inlineStr">
        <x:is>
          <x:t xml:space="preserve">scenario modeling; budgeting; portfolio reasoning; decision framing</x:t>
        </x:is>
      </x:c>
      <x:c r="O93" s="5" t="inlineStr">
        <x:is>
          <x:t xml:space="preserve">Medium</x:t>
        </x:is>
      </x:c>
      <x:c r="P93" s="5" t="inlineStr">
        <x:is>
          <x:t xml:space="preserve">High</x:t>
        </x:is>
      </x:c>
      <x:c r="Q93" s="5" t="inlineStr">
        <x:is>
          <x:t xml:space="preserve">Medium</x:t>
        </x:is>
      </x:c>
      <x:c r="R93" s="5" t="inlineStr">
        <x:is>
          <x:t xml:space="preserve">Low</x:t>
        </x:is>
      </x:c>
      <x:c r="S93" s="5" t="inlineStr">
        <x:is>
          <x:t xml:space="preserve">Medium</x:t>
        </x:is>
      </x:c>
      <x:c r="T93" s="5" t="inlineStr">
        <x:is>
          <x:t xml:space="preserve">ChatGPT or Claude with spreadsheet support</x:t>
        </x:is>
      </x:c>
      <x:c r="U93" s="5" t="inlineStr">
        <x:is>
          <x:t xml:space="preserve">Easy</x:t>
        </x:is>
      </x:c>
      <x:c r="V93" s="10" t="n">
        <x:v>1</x:v>
      </x:c>
      <x:c r="W93" s="5" t="inlineStr">
        <x:is>
          <x:t xml:space="preserve">Scenario modeling + coherence review</x:t>
        </x:is>
      </x:c>
      <x:c r="X93" s="5" t="inlineStr">
        <x:is>
          <x:t xml:space="preserve">budget / model / plan / recommendation</x:t>
        </x:is>
      </x:c>
      <x:c r="Y93" s="5" t="inlineStr">
        <x:is>
          <x:t xml:space="preserve">Advice is numerically coherent, practical, and transparent about assumptions.</x:t>
        </x:is>
      </x:c>
      <x:c r="Z93" s="5" t="inlineStr">
        <x:is>
          <x:t xml:space="preserve">Bad math, missing assumptions, or overconfident investment guidance.</x:t>
        </x:is>
      </x:c>
      <x:c r="AA93" s="5" t="inlineStr">
        <x:is>
          <x:t xml:space="preserve">financial calculator / assumption schema / spreadsheet outputs</x:t>
        </x:is>
      </x:c>
      <x:c r="AB93" s="5" t="inlineStr">
        <x:is>
          <x:t xml:space="preserve"/>
        </x:is>
      </x:c>
      <x:c r="AC93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93" s="5" t="inlineStr">
        <x:is>
          <x:t xml:space="preserve">FNBO Financial Wellbeing Study 2025; NerdWallet/Harris Poll 2026; PlanAdviser 2026</x:t>
        </x:is>
      </x:c>
      <x:c r="AE93" s="11">
        <x:f>IF(O93="High",20,IF(O93="Medium",10,IF(O93="Low",5,0)))+IF(P93="High",20,IF(P93="Medium",10,IF(P93="Low",5,0)))+IF(Q93="High",20,IF(Q93="Medium",10,IF(Q93="Low",5,0)))+IF(R93="High",20,IF(R93="Medium",10,IF(R93="Low",5,0)))+IF(S93="High",20,IF(S93="Medium",10,IF(S93="Low",5,0)))</x:f>
        <x:v>55</x:v>
      </x:c>
      <x:c r="AF93" s="12">
        <x:f>ROUND(H93*0.30+J93*0.25+K93*0.20+(100-AE93)*0.10+(100-(V93*20))*0.15,0)</x:f>
        <x:v>69</x:v>
      </x:c>
      <x:c r="AG93" s="13" t="str">
        <x:f>IF(AF93&gt;=80,"Batch 1",IF(AF93&gt;=70,"Batch 2",IF(AF93&gt;=60,"Batch 3","Backlog")))</x:f>
        <x:v>Batch 3</x:v>
      </x:c>
      <x:c r="AH93" t="inlineStr">
        <x:is>
          <x:t xml:space="preserve"/>
        </x:is>
      </x:c>
    </x:row>
    <x:row r="94">
      <x:c r="A94" s="5" t="inlineStr">
        <x:is>
          <x:t xml:space="preserve">GPO-COD-15</x:t>
        </x:is>
      </x:c>
      <x:c r="B94" s="5" t="n">
        <x:v>90</x:v>
      </x:c>
      <x:c r="C94" s="5" t="inlineStr">
        <x:is>
          <x:t xml:space="preserve">Code &amp; Product Engineering</x:t>
        </x:is>
      </x:c>
      <x:c r="D94" s="5" t="inlineStr">
        <x:is>
          <x:t xml:space="preserve">Build</x:t>
        </x:is>
      </x:c>
      <x:c r="E94" s="5" t="inlineStr">
        <x:is>
          <x:t xml:space="preserve">Expansion 150</x:t>
        </x:is>
      </x:c>
      <x:c r="F94" s="5" t="n">
        <x:v>15</x:v>
      </x:c>
      <x:c r="G94" s="5" t="inlineStr">
        <x:is>
          <x:t xml:space="preserve">Write a code generation prompt/system for another AI builder so it produces cleaner output.</x:t>
        </x:is>
      </x:c>
      <x:c r="H94" s="6" t="n">
        <x:v>60</x:v>
      </x:c>
      <x:c r="I94" s="6" t="n">
        <x:v>60</x:v>
      </x:c>
      <x:c r="J94" s="7" t="n">
        <x:v>81</x:v>
      </x:c>
      <x:c r="K94" s="7" t="n">
        <x:v>69</x:v>
      </x:c>
      <x:c r="L94" s="8" t="inlineStr">
        <x:is>
          <x:t xml:space="preserve">UNTESTED</x:t>
        </x:is>
      </x:c>
      <x:c r="M94" s="9" t="inlineStr">
        <x:is>
          <x:t xml:space="preserve">UNTESTED</x:t>
        </x:is>
      </x:c>
      <x:c r="N94" s="5" t="inlineStr">
        <x:is>
          <x:t xml:space="preserve">routing; code reasoning; repo context; file edit; test execution; structured output</x:t>
        </x:is>
      </x:c>
      <x:c r="O94" s="5" t="inlineStr">
        <x:is>
          <x:t xml:space="preserve">No</x:t>
        </x:is>
      </x:c>
      <x:c r="P94" s="5" t="inlineStr">
        <x:is>
          <x:t xml:space="preserve">Medium</x:t>
        </x:is>
      </x:c>
      <x:c r="Q94" s="5" t="inlineStr">
        <x:is>
          <x:t xml:space="preserve">High</x:t>
        </x:is>
      </x:c>
      <x:c r="R94" s="5" t="inlineStr">
        <x:is>
          <x:t xml:space="preserve">Medium</x:t>
        </x:is>
      </x:c>
      <x:c r="S94" s="5" t="inlineStr">
        <x:is>
          <x:t xml:space="preserve">Low</x:t>
        </x:is>
      </x:c>
      <x:c r="T94" s="5" t="inlineStr">
        <x:is>
          <x:t xml:space="preserve">Claude Code primary; ChatGPT critique; web optional</x:t>
        </x:is>
      </x:c>
      <x:c r="U94" s="5" t="inlineStr">
        <x:is>
          <x:t xml:space="preserve">Easy</x:t>
        </x:is>
      </x:c>
      <x:c r="V94" s="10" t="n">
        <x:v>1</x:v>
      </x:c>
      <x:c r="W94" s="5" t="inlineStr">
        <x:is>
          <x:t xml:space="preserve">Live execution + code diff + output review</x:t>
        </x:is>
      </x:c>
      <x:c r="X94" s="5" t="inlineStr">
        <x:is>
          <x:t xml:space="preserve">code patch / spec / architecture / debug report</x:t>
        </x:is>
      </x:c>
      <x:c r="Y94" s="5" t="inlineStr">
        <x:is>
          <x:t xml:space="preserve">Produces correct technical plan or working code without breaking current behavior.</x:t>
        </x:is>
      </x:c>
      <x:c r="Z94" s="5" t="inlineStr">
        <x:is>
          <x:t xml:space="preserve">Hallucinated codebase facts, unsafe refactor, broken tests, or vague technical output.</x:t>
        </x:is>
      </x:c>
      <x:c r="AA94" s="5" t="inlineStr">
        <x:is>
          <x:t xml:space="preserve">routing / tool wiring / repo context / codegen guardrails</x:t>
        </x:is>
      </x:c>
      <x:c r="AB94" s="5" t="inlineStr">
        <x:is>
          <x:t xml:space="preserve"/>
        </x:is>
      </x:c>
      <x:c r="AC94" s="5" t="inlineStr">
        <x:is>
          <x:t xml:space="preserve">OpenAI/common use: writing+coding; Menlo enterprise coding is 55% of departmental AI spend; Deloitte top app: work assistance.</x:t>
        </x:is>
      </x:c>
      <x:c r="AD94" s="5" t="inlineStr">
        <x:is>
          <x:t xml:space="preserve">OpenAI GPT-5 / How People Use ChatGPT; Menlo State of GenAI in Enterprise 2025; Deloitte Connected Consumer 2025</x:t>
        </x:is>
      </x:c>
      <x:c r="AE94" s="11">
        <x:f>IF(O94="High",20,IF(O94="Medium",10,IF(O94="Low",5,0)))+IF(P94="High",20,IF(P94="Medium",10,IF(P94="Low",5,0)))+IF(Q94="High",20,IF(Q94="Medium",10,IF(Q94="Low",5,0)))+IF(R94="High",20,IF(R94="Medium",10,IF(R94="Low",5,0)))+IF(S94="High",20,IF(S94="Medium",10,IF(S94="Low",5,0)))</x:f>
        <x:v>45</x:v>
      </x:c>
      <x:c r="AF94" s="12">
        <x:f>ROUND(H94*0.30+J94*0.25+K94*0.20+(100-AE94)*0.10+(100-(V94*20))*0.15,0)</x:f>
        <x:v>70</x:v>
      </x:c>
      <x:c r="AG94" s="13" t="str">
        <x:f>IF(AF94&gt;=80,"Batch 1",IF(AF94&gt;=70,"Batch 2",IF(AF94&gt;=60,"Batch 3","Backlog")))</x:f>
        <x:v>Batch 2</x:v>
      </x:c>
      <x:c r="AH94" t="inlineStr">
        <x:is>
          <x:t xml:space="preserve"/>
        </x:is>
      </x:c>
    </x:row>
    <x:row r="95">
      <x:c r="A95" s="5" t="inlineStr">
        <x:is>
          <x:t xml:space="preserve">GPO-STA-04</x:t>
        </x:is>
      </x:c>
      <x:c r="B95" s="5" t="n">
        <x:v>91</x:v>
      </x:c>
      <x:c r="C95" s="5" t="inlineStr">
        <x:is>
          <x:t xml:space="preserve">Startup &amp; Business Builder</x:t>
        </x:is>
      </x:c>
      <x:c r="D95" s="5" t="inlineStr">
        <x:is>
          <x:t xml:space="preserve">Build</x:t>
        </x:is>
      </x:c>
      <x:c r="E95" s="5" t="inlineStr">
        <x:is>
          <x:t xml:space="preserve">Core 150</x:t>
        </x:is>
      </x:c>
      <x:c r="F95" s="5" t="n">
        <x:v>4</x:v>
      </x:c>
      <x:c r="G95" s="5" t="inlineStr">
        <x:is>
          <x:t xml:space="preserve">Create a launch plan for web app from first users to initial revenue.</x:t>
        </x:is>
      </x:c>
      <x:c r="H95" s="6" t="n">
        <x:v>62</x:v>
      </x:c>
      <x:c r="I95" s="6" t="n">
        <x:v>62</x:v>
      </x:c>
      <x:c r="J95" s="7" t="n">
        <x:v>78</x:v>
      </x:c>
      <x:c r="K95" s="7" t="n">
        <x:v>69</x:v>
      </x:c>
      <x:c r="L95" s="8" t="inlineStr">
        <x:is>
          <x:t xml:space="preserve">UNTESTED</x:t>
        </x:is>
      </x:c>
      <x:c r="M95" s="9" t="inlineStr">
        <x:is>
          <x:t xml:space="preserve">UNTESTED</x:t>
        </x:is>
      </x:c>
      <x:c r="N95" s="5" t="inlineStr">
        <x:is>
          <x:t xml:space="preserve">strategy; product thinking; GTM reasoning; structured planning</x:t>
        </x:is>
      </x:c>
      <x:c r="O95" s="5" t="inlineStr">
        <x:is>
          <x:t xml:space="preserve">Medium</x:t>
        </x:is>
      </x:c>
      <x:c r="P95" s="5" t="inlineStr">
        <x:is>
          <x:t xml:space="preserve">High</x:t>
        </x:is>
      </x:c>
      <x:c r="Q95" s="5" t="inlineStr">
        <x:is>
          <x:t xml:space="preserve">Low</x:t>
        </x:is>
      </x:c>
      <x:c r="R95" s="5" t="inlineStr">
        <x:is>
          <x:t xml:space="preserve">Medium</x:t>
        </x:is>
      </x:c>
      <x:c r="S95" s="5" t="inlineStr">
        <x:is>
          <x:t xml:space="preserve">Low</x:t>
        </x:is>
      </x:c>
      <x:c r="T95" s="5" t="inlineStr">
        <x:is>
          <x:t xml:space="preserve">Claude + ChatGPT combo</x:t>
        </x:is>
      </x:c>
      <x:c r="U95" s="5" t="inlineStr">
        <x:is>
          <x:t xml:space="preserve">Easy</x:t>
        </x:is>
      </x:c>
      <x:c r="V95" s="10" t="n">
        <x:v>1</x:v>
      </x:c>
      <x:c r="W95" s="5" t="inlineStr">
        <x:is>
          <x:t xml:space="preserve">Plan generation + critique + strategic review</x:t>
        </x:is>
      </x:c>
      <x:c r="X95" s="5" t="inlineStr">
        <x:is>
          <x:t xml:space="preserve">roadmap / GTM plan / business memo</x:t>
        </x:is>
      </x:c>
      <x:c r="Y95" s="5" t="inlineStr">
        <x:is>
          <x:t xml:space="preserve">Recommendation is strategically sharp, prioritized, and grounded in market reality.</x:t>
        </x:is>
      </x:c>
      <x:c r="Z95" s="5" t="inlineStr">
        <x:is>
          <x:t xml:space="preserve">Buzzwordy output, no wedge, weak prioritization, or unearned confidence.</x:t>
        </x:is>
      </x:c>
      <x:c r="AA95" s="5" t="inlineStr">
        <x:is>
          <x:t xml:space="preserve">strategy templates / board logic / critique loop</x:t>
        </x:is>
      </x:c>
      <x:c r="AB95" s="5" t="inlineStr">
        <x:is>
          <x:t xml:space="preserve"/>
        </x:is>
      </x:c>
      <x:c r="AC9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95" s="5" t="inlineStr">
        <x:is>
          <x:t xml:space="preserve">OpenAI How People Use ChatGPT paper; Menlo State of Consumer AI 2025; Menlo AI UI Problem 2025</x:t>
        </x:is>
      </x:c>
      <x:c r="AE95" s="11">
        <x:f>IF(O95="High",20,IF(O95="Medium",10,IF(O95="Low",5,0)))+IF(P95="High",20,IF(P95="Medium",10,IF(P95="Low",5,0)))+IF(Q95="High",20,IF(Q95="Medium",10,IF(Q95="Low",5,0)))+IF(R95="High",20,IF(R95="Medium",10,IF(R95="Low",5,0)))+IF(S95="High",20,IF(S95="Medium",10,IF(S95="Low",5,0)))</x:f>
        <x:v>50</x:v>
      </x:c>
      <x:c r="AF95" s="12">
        <x:f>ROUND(H95*0.30+J95*0.25+K95*0.20+(100-AE95)*0.10+(100-(V95*20))*0.15,0)</x:f>
        <x:v>69</x:v>
      </x:c>
      <x:c r="AG95" s="13" t="str">
        <x:f>IF(AF95&gt;=80,"Batch 1",IF(AF95&gt;=70,"Batch 2",IF(AF95&gt;=60,"Batch 3","Backlog")))</x:f>
        <x:v>Batch 3</x:v>
      </x:c>
      <x:c r="AH95" t="inlineStr">
        <x:is>
          <x:t xml:space="preserve"/>
        </x:is>
      </x:c>
    </x:row>
    <x:row r="96">
      <x:c r="A96" s="5" t="inlineStr">
        <x:is>
          <x:t xml:space="preserve">GPO-TRA-07</x:t>
        </x:is>
      </x:c>
      <x:c r="B96" s="5" t="n">
        <x:v>92</x:v>
      </x:c>
      <x:c r="C96" s="5" t="inlineStr">
        <x:is>
          <x:t xml:space="preserve">Travel &amp; Relocation Planner</x:t>
        </x:is>
      </x:c>
      <x:c r="D96" s="5" t="inlineStr">
        <x:is>
          <x:t xml:space="preserve">Move</x:t>
        </x:is>
      </x:c>
      <x:c r="E96" s="5" t="inlineStr">
        <x:is>
          <x:t xml:space="preserve">Core 150</x:t>
        </x:is>
      </x:c>
      <x:c r="F96" s="5" t="n">
        <x:v>7</x:v>
      </x:c>
      <x:c r="G96" s="5" t="inlineStr">
        <x:is>
          <x:t xml:space="preserve">Recommend where I should stay in this destination based on what I care about.</x:t>
        </x:is>
      </x:c>
      <x:c r="H96" s="6" t="n">
        <x:v>62</x:v>
      </x:c>
      <x:c r="I96" s="6" t="n">
        <x:v>62</x:v>
      </x:c>
      <x:c r="J96" s="7" t="n">
        <x:v>78</x:v>
      </x:c>
      <x:c r="K96" s="7" t="n">
        <x:v>69</x:v>
      </x:c>
      <x:c r="L96" s="8" t="inlineStr">
        <x:is>
          <x:t xml:space="preserve">UNTESTED</x:t>
        </x:is>
      </x:c>
      <x:c r="M96" s="9" t="inlineStr">
        <x:is>
          <x:t xml:space="preserve">UNTESTED</x:t>
        </x:is>
      </x:c>
      <x:c r="N96" s="5" t="inlineStr">
        <x:is>
          <x:t xml:space="preserve">travel research; itinerary planning; logistics reasoning; contingency planning</x:t>
        </x:is>
      </x:c>
      <x:c r="O96" s="5" t="inlineStr">
        <x:is>
          <x:t xml:space="preserve">High</x:t>
        </x:is>
      </x:c>
      <x:c r="P96" s="5" t="inlineStr">
        <x:is>
          <x:t xml:space="preserve">Medium</x:t>
        </x:is>
      </x:c>
      <x:c r="Q96" s="5" t="inlineStr">
        <x:is>
          <x:t xml:space="preserve">Medium</x:t>
        </x:is>
      </x:c>
      <x:c r="R96" s="5" t="inlineStr">
        <x:is>
          <x:t xml:space="preserve">Low</x:t>
        </x:is>
      </x:c>
      <x:c r="S96" s="5" t="inlineStr">
        <x:is>
          <x:t xml:space="preserve">Low</x:t>
        </x:is>
      </x:c>
      <x:c r="T96" s="5" t="inlineStr">
        <x:is>
          <x:t xml:space="preserve">ChatGPT with web; maps/calendar later</x:t>
        </x:is>
      </x:c>
      <x:c r="U96" s="5" t="inlineStr">
        <x:is>
          <x:t xml:space="preserve">Easy</x:t>
        </x:is>
      </x:c>
      <x:c r="V96" s="10" t="n">
        <x:v>1</x:v>
      </x:c>
      <x:c r="W96" s="5" t="inlineStr">
        <x:is>
          <x:t xml:space="preserve">Live trip planning + feasibility review</x:t>
        </x:is>
      </x:c>
      <x:c r="X96" s="5" t="inlineStr">
        <x:is>
          <x:t xml:space="preserve">itinerary / relocation plan / checklist</x:t>
        </x:is>
      </x:c>
      <x:c r="Y96" s="5" t="inlineStr">
        <x:is>
          <x:t xml:space="preserve">Plan is current, geographically sensible, and tuned to budget/constraints.</x:t>
        </x:is>
      </x:c>
      <x:c r="Z96" s="5" t="inlineStr">
        <x:is>
          <x:t xml:space="preserve">Bad logistics, stale info, wrong timing, or generic travel advice.</x:t>
        </x:is>
      </x:c>
      <x:c r="AA96" s="5" t="inlineStr">
        <x:is>
          <x:t xml:space="preserve">travel templates / web + mapping integration / logistics engine</x:t>
        </x:is>
      </x:c>
      <x:c r="AB96" s="5" t="inlineStr">
        <x:is>
          <x:t xml:space="preserve"/>
        </x:is>
      </x:c>
      <x:c r="AC96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96" s="5" t="inlineStr">
        <x:is>
          <x:t xml:space="preserve">Deloitte Connected Consumer 2025; Adobe travel planning 2025</x:t>
        </x:is>
      </x:c>
      <x:c r="AE96" s="11">
        <x:f>IF(O96="High",20,IF(O96="Medium",10,IF(O96="Low",5,0)))+IF(P96="High",20,IF(P96="Medium",10,IF(P96="Low",5,0)))+IF(Q96="High",20,IF(Q96="Medium",10,IF(Q96="Low",5,0)))+IF(R96="High",20,IF(R96="Medium",10,IF(R96="Low",5,0)))+IF(S96="High",20,IF(S96="Medium",10,IF(S96="Low",5,0)))</x:f>
        <x:v>50</x:v>
      </x:c>
      <x:c r="AF96" s="12">
        <x:f>ROUND(H96*0.30+J96*0.25+K96*0.20+(100-AE96)*0.10+(100-(V96*20))*0.15,0)</x:f>
        <x:v>69</x:v>
      </x:c>
      <x:c r="AG96" s="13" t="str">
        <x:f>IF(AF96&gt;=80,"Batch 1",IF(AF96&gt;=70,"Batch 2",IF(AF96&gt;=60,"Batch 3","Backlog")))</x:f>
        <x:v>Batch 3</x:v>
      </x:c>
      <x:c r="AH96" t="inlineStr">
        <x:is>
          <x:t xml:space="preserve"/>
        </x:is>
      </x:c>
    </x:row>
    <x:row r="97">
      <x:c r="A97" s="5" t="inlineStr">
        <x:is>
          <x:t xml:space="preserve">GPO-CAR-05</x:t>
        </x:is>
      </x:c>
      <x:c r="B97" s="5" t="n">
        <x:v>93</x:v>
      </x:c>
      <x:c r="C97" s="5" t="inlineStr">
        <x:is>
          <x:t xml:space="preserve">Career &amp; Job Search</x:t>
        </x:is>
      </x:c>
      <x:c r="D97" s="5" t="inlineStr">
        <x:is>
          <x:t xml:space="preserve">Advance</x:t>
        </x:is>
      </x:c>
      <x:c r="E97" s="5" t="inlineStr">
        <x:is>
          <x:t xml:space="preserve">Core 150</x:t>
        </x:is>
      </x:c>
      <x:c r="F97" s="5" t="n">
        <x:v>5</x:v>
      </x:c>
      <x:c r="G97" s="5" t="inlineStr">
        <x:is>
          <x:t xml:space="preserve">Create a job search strategy that is smarter than mass applying.</x:t>
        </x:is>
      </x:c>
      <x:c r="H97" s="6" t="n">
        <x:v>59</x:v>
      </x:c>
      <x:c r="I97" s="6" t="n">
        <x:v>59</x:v>
      </x:c>
      <x:c r="J97" s="7" t="n">
        <x:v>81</x:v>
      </x:c>
      <x:c r="K97" s="7" t="n">
        <x:v>69</x:v>
      </x:c>
      <x:c r="L97" s="8" t="inlineStr">
        <x:is>
          <x:t xml:space="preserve">UNTESTED</x:t>
        </x:is>
      </x:c>
      <x:c r="M97" s="9" t="inlineStr">
        <x:is>
          <x:t xml:space="preserve">UNTESTED</x:t>
        </x:is>
      </x:c>
      <x:c r="N97" s="5" t="inlineStr">
        <x:is>
          <x:t xml:space="preserve">resume tailoring; interview prep; role mapping; narrative building</x:t>
        </x:is>
      </x:c>
      <x:c r="O97" s="5" t="inlineStr">
        <x:is>
          <x:t xml:space="preserve">Medium</x:t>
        </x:is>
      </x:c>
      <x:c r="P97" s="5" t="inlineStr">
        <x:is>
          <x:t xml:space="preserve">High</x:t>
        </x:is>
      </x:c>
      <x:c r="Q97" s="5" t="inlineStr">
        <x:is>
          <x:t xml:space="preserve">Low</x:t>
        </x:is>
      </x:c>
      <x:c r="R97" s="5" t="inlineStr">
        <x:is>
          <x:t xml:space="preserve">Low</x:t>
        </x:is>
      </x:c>
      <x:c r="S97" s="5" t="inlineStr">
        <x:is>
          <x:t xml:space="preserve">Low</x:t>
        </x:is>
      </x:c>
      <x:c r="T97" s="5" t="inlineStr">
        <x:is>
          <x:t xml:space="preserve">ChatGPT primary</x:t>
        </x:is>
      </x:c>
      <x:c r="U97" s="5" t="inlineStr">
        <x:is>
          <x:t xml:space="preserve">Easy</x:t>
        </x:is>
      </x:c>
      <x:c r="V97" s="10" t="n">
        <x:v>1</x:v>
      </x:c>
      <x:c r="W97" s="5" t="inlineStr">
        <x:is>
          <x:t xml:space="preserve">Artifact review + mock interview + targeting review</x:t>
        </x:is>
      </x:c>
      <x:c r="X97" s="5" t="inlineStr">
        <x:is>
          <x:t xml:space="preserve">resume / prep plan / outreach / strategy memo</x:t>
        </x:is>
      </x:c>
      <x:c r="Y97" s="5" t="inlineStr">
        <x:is>
          <x:t xml:space="preserve">Career outputs are specific, credible, and materially improve positioning.</x:t>
        </x:is>
      </x:c>
      <x:c r="Z97" s="5" t="inlineStr">
        <x:is>
          <x:t xml:space="preserve">Generic resume language, fake-sounding stories, or weak role fit.</x:t>
        </x:is>
      </x:c>
      <x:c r="AA97" s="5" t="inlineStr">
        <x:is>
          <x:t xml:space="preserve">career templates / memory / ATS-aware output logic</x:t>
        </x:is>
      </x:c>
      <x:c r="AB97" s="5" t="inlineStr">
        <x:is>
          <x:t xml:space="preserve"/>
        </x:is>
      </x:c>
      <x:c r="AC97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97" s="5" t="inlineStr">
        <x:is>
          <x:t xml:space="preserve">Insight Global AI in Hiring Report 2025; NACE student survey 2025/2026</x:t>
        </x:is>
      </x:c>
      <x:c r="AE97" s="11">
        <x:f>IF(O97="High",20,IF(O97="Medium",10,IF(O97="Low",5,0)))+IF(P97="High",20,IF(P97="Medium",10,IF(P97="Low",5,0)))+IF(Q97="High",20,IF(Q97="Medium",10,IF(Q97="Low",5,0)))+IF(R97="High",20,IF(R97="Medium",10,IF(R97="Low",5,0)))+IF(S97="High",20,IF(S97="Medium",10,IF(S97="Low",5,0)))</x:f>
        <x:v>45</x:v>
      </x:c>
      <x:c r="AF97" s="12">
        <x:f>ROUND(H97*0.30+J97*0.25+K97*0.20+(100-AE97)*0.10+(100-(V97*20))*0.15,0)</x:f>
        <x:v>69</x:v>
      </x:c>
      <x:c r="AG97" s="13" t="str">
        <x:f>IF(AF97&gt;=80,"Batch 1",IF(AF97&gt;=70,"Batch 2",IF(AF97&gt;=60,"Batch 3","Backlog")))</x:f>
        <x:v>Batch 3</x:v>
      </x:c>
      <x:c r="AH97" t="inlineStr">
        <x:is>
          <x:t xml:space="preserve"/>
        </x:is>
      </x:c>
    </x:row>
    <x:row r="98">
      <x:c r="A98" s="5" t="inlineStr">
        <x:is>
          <x:t xml:space="preserve">GPO-RES-13</x:t>
        </x:is>
      </x:c>
      <x:c r="B98" s="5" t="n">
        <x:v>94</x:v>
      </x:c>
      <x:c r="C98" s="5" t="inlineStr">
        <x:is>
          <x:t xml:space="preserve">Research &amp; Analysis</x:t>
        </x:is>
      </x:c>
      <x:c r="D98" s="5" t="inlineStr">
        <x:is>
          <x:t xml:space="preserve">Think</x:t>
        </x:is>
      </x:c>
      <x:c r="E98" s="5" t="inlineStr">
        <x:is>
          <x:t xml:space="preserve">Expansion 150</x:t>
        </x:is>
      </x:c>
      <x:c r="F98" s="5" t="n">
        <x:v>13</x:v>
      </x:c>
      <x:c r="G98" s="5" t="inlineStr">
        <x:is>
          <x:t xml:space="preserve">Build a decision framework for choosing among these options.</x:t>
        </x:is>
      </x:c>
      <x:c r="H98" s="6" t="n">
        <x:v>61</x:v>
      </x:c>
      <x:c r="I98" s="6" t="n">
        <x:v>61</x:v>
      </x:c>
      <x:c r="J98" s="7" t="n">
        <x:v>78</x:v>
      </x:c>
      <x:c r="K98" s="7" t="n">
        <x:v>69</x:v>
      </x:c>
      <x:c r="L98" s="8" t="inlineStr">
        <x:is>
          <x:t xml:space="preserve">UNTESTED</x:t>
        </x:is>
      </x:c>
      <x:c r="M98" s="9" t="inlineStr">
        <x:is>
          <x:t xml:space="preserve">UNTESTED</x:t>
        </x:is>
      </x:c>
      <x:c r="N98" s="5" t="inlineStr">
        <x:is>
          <x:t xml:space="preserve">web research; synthesis; citation discipline; decision framing</x:t>
        </x:is>
      </x:c>
      <x:c r="O98" s="5" t="inlineStr">
        <x:is>
          <x:t xml:space="preserve">High</x:t>
        </x:is>
      </x:c>
      <x:c r="P98" s="5" t="inlineStr">
        <x:is>
          <x:t xml:space="preserve">Medium</x:t>
        </x:is>
      </x:c>
      <x:c r="Q98" s="5" t="inlineStr">
        <x:is>
          <x:t xml:space="preserve">Medium</x:t>
        </x:is>
      </x:c>
      <x:c r="R98" s="5" t="inlineStr">
        <x:is>
          <x:t xml:space="preserve">Medium</x:t>
        </x:is>
      </x:c>
      <x:c r="S98" s="5" t="inlineStr">
        <x:is>
          <x:t xml:space="preserve">Low</x:t>
        </x:is>
      </x:c>
      <x:c r="T98" s="5" t="inlineStr">
        <x:is>
          <x:t xml:space="preserve">ChatGPT with web; Claude for synthesis</x:t>
        </x:is>
      </x:c>
      <x:c r="U98" s="5" t="inlineStr">
        <x:is>
          <x:t xml:space="preserve">Easy</x:t>
        </x:is>
      </x:c>
      <x:c r="V98" s="10" t="n">
        <x:v>1</x:v>
      </x:c>
      <x:c r="W98" s="5" t="inlineStr">
        <x:is>
          <x:t xml:space="preserve">Live research + source validation + recommendation review</x:t>
        </x:is>
      </x:c>
      <x:c r="X98" s="5" t="inlineStr">
        <x:is>
          <x:t xml:space="preserve">brief / comparison / decision memo / risk analysis</x:t>
        </x:is>
      </x:c>
      <x:c r="Y98" s="5" t="inlineStr">
        <x:is>
          <x:t xml:space="preserve">Accurate synthesis with evidence, tradeoffs, and a concrete recommendation.</x:t>
        </x:is>
      </x:c>
      <x:c r="Z98" s="5" t="inlineStr">
        <x:is>
          <x:t xml:space="preserve">Stale facts, no citations, weak reasoning, or surface-level synthesis.</x:t>
        </x:is>
      </x:c>
      <x:c r="AA98" s="5" t="inlineStr">
        <x:is>
          <x:t xml:space="preserve">web integration / citation enforcement / analysis rubric</x:t>
        </x:is>
      </x:c>
      <x:c r="AB98" s="5" t="inlineStr">
        <x:is>
          <x:t xml:space="preserve"/>
        </x:is>
      </x:c>
      <x:c r="AC98" s="5" t="inlineStr">
        <x:is>
          <x:t xml:space="preserve">OpenAI usage paper: Seeking Information is in top 3 categories; work/advice/search are common across Deloitte and OpenAI.</x:t>
        </x:is>
      </x:c>
      <x:c r="AD98" s="5" t="inlineStr">
        <x:is>
          <x:t xml:space="preserve">OpenAI How People Use ChatGPT paper; Deloitte Connected Consumer 2025</x:t>
        </x:is>
      </x:c>
      <x:c r="AE98" s="11">
        <x:f>IF(O98="High",20,IF(O98="Medium",10,IF(O98="Low",5,0)))+IF(P98="High",20,IF(P98="Medium",10,IF(P98="Low",5,0)))+IF(Q98="High",20,IF(Q98="Medium",10,IF(Q98="Low",5,0)))+IF(R98="High",20,IF(R98="Medium",10,IF(R98="Low",5,0)))+IF(S98="High",20,IF(S98="Medium",10,IF(S98="Low",5,0)))</x:f>
        <x:v>55</x:v>
      </x:c>
      <x:c r="AF98" s="12">
        <x:f>ROUND(H98*0.30+J98*0.25+K98*0.20+(100-AE98)*0.10+(100-(V98*20))*0.15,0)</x:f>
        <x:v>68</x:v>
      </x:c>
      <x:c r="AG98" s="13" t="str">
        <x:f>IF(AF98&gt;=80,"Batch 1",IF(AF98&gt;=70,"Batch 2",IF(AF98&gt;=60,"Batch 3","Backlog")))</x:f>
        <x:v>Batch 3</x:v>
      </x:c>
      <x:c r="AH98" t="inlineStr">
        <x:is>
          <x:t xml:space="preserve"/>
        </x:is>
      </x:c>
    </x:row>
    <x:row r="99">
      <x:c r="A99" s="5" t="inlineStr">
        <x:is>
          <x:t xml:space="preserve">GPO-SCH-11</x:t>
        </x:is>
      </x:c>
      <x:c r="B99" s="5" t="n">
        <x:v>95</x:v>
      </x:c>
      <x:c r="C99" s="5" t="inlineStr">
        <x:is>
          <x:t xml:space="preserve">Scheduling &amp; Life Operations</x:t>
        </x:is>
      </x:c>
      <x:c r="D99" s="5" t="inlineStr">
        <x:is>
          <x:t xml:space="preserve">Operate</x:t>
        </x:is>
      </x:c>
      <x:c r="E99" s="5" t="inlineStr">
        <x:is>
          <x:t xml:space="preserve">Expansion 150</x:t>
        </x:is>
      </x:c>
      <x:c r="F99" s="5" t="n">
        <x:v>11</x:v>
      </x:c>
      <x:c r="G99" s="5" t="inlineStr">
        <x:is>
          <x:t xml:space="preserve">Build a recurring weekly review system that keeps my life under control.</x:t>
        </x:is>
      </x:c>
      <x:c r="H99" s="6" t="n">
        <x:v>61</x:v>
      </x:c>
      <x:c r="I99" s="6" t="n">
        <x:v>61</x:v>
      </x:c>
      <x:c r="J99" s="7" t="n">
        <x:v>78</x:v>
      </x:c>
      <x:c r="K99" s="7" t="n">
        <x:v>69</x:v>
      </x:c>
      <x:c r="L99" s="8" t="inlineStr">
        <x:is>
          <x:t xml:space="preserve">UNTESTED</x:t>
        </x:is>
      </x:c>
      <x:c r="M99" s="9" t="inlineStr">
        <x:is>
          <x:t xml:space="preserve">UNTESTED</x:t>
        </x:is>
      </x:c>
      <x:c r="N99" s="5" t="inlineStr">
        <x:is>
          <x:t xml:space="preserve">task planning; prioritization; calendar reasoning; personal constraints handling</x:t>
        </x:is>
      </x:c>
      <x:c r="O99" s="5" t="inlineStr">
        <x:is>
          <x:t xml:space="preserve">Low</x:t>
        </x:is>
      </x:c>
      <x:c r="P99" s="5" t="inlineStr">
        <x:is>
          <x:t xml:space="preserve">High</x:t>
        </x:is>
      </x:c>
      <x:c r="Q99" s="5" t="inlineStr">
        <x:is>
          <x:t xml:space="preserve">Medium</x:t>
        </x:is>
      </x:c>
      <x:c r="R99" s="5" t="inlineStr">
        <x:is>
          <x:t xml:space="preserve">Low</x:t>
        </x:is>
      </x:c>
      <x:c r="S99" s="5" t="inlineStr">
        <x:is>
          <x:t xml:space="preserve">Low</x:t>
        </x:is>
      </x:c>
      <x:c r="T99" s="5" t="inlineStr">
        <x:is>
          <x:t xml:space="preserve">ChatGPT primary; calendar integrations later</x:t>
        </x:is>
      </x:c>
      <x:c r="U99" s="5" t="inlineStr">
        <x:is>
          <x:t xml:space="preserve">Easy</x:t>
        </x:is>
      </x:c>
      <x:c r="V99" s="10" t="n">
        <x:v>1</x:v>
      </x:c>
      <x:c r="W99" s="5" t="inlineStr">
        <x:is>
          <x:t xml:space="preserve">Scenario-based planning + operator utility review</x:t>
        </x:is>
      </x:c>
      <x:c r="X99" s="5" t="inlineStr">
        <x:is>
          <x:t xml:space="preserve">schedule / checklist / operating plan</x:t>
        </x:is>
      </x:c>
      <x:c r="Y99" s="5" t="inlineStr">
        <x:is>
          <x:t xml:space="preserve">Plan is realistic, prioritized, and executable under stated constraints.</x:t>
        </x:is>
      </x:c>
      <x:c r="Z99" s="5" t="inlineStr">
        <x:is>
          <x:t xml:space="preserve">Overpacked schedule, ignored constraints, or vague next steps.</x:t>
        </x:is>
      </x:c>
      <x:c r="AA99" s="5" t="inlineStr">
        <x:is>
          <x:t xml:space="preserve">planner engine / memory / calendar-tool integration</x:t>
        </x:is>
      </x:c>
      <x:c r="AB99" s="5" t="inlineStr">
        <x:is>
          <x:t xml:space="preserve"/>
        </x:is>
      </x:c>
      <x:c r="AC99" s="5" t="inlineStr">
        <x:is>
          <x:t xml:space="preserve">Menlo consumer AI: 18% use AI to manage to-do lists and 15% to organize notes; Zao-Sanders ranked 'Organise my life' #2.</x:t>
        </x:is>
      </x:c>
      <x:c r="AD99" s="5" t="inlineStr">
        <x:is>
          <x:t xml:space="preserve">Menlo State of Consumer AI 2025; Zao-Sanders Top-100 GenAI Use Cases 2025</x:t>
        </x:is>
      </x:c>
      <x:c r="AE99" s="11">
        <x:f>IF(O99="High",20,IF(O99="Medium",10,IF(O99="Low",5,0)))+IF(P99="High",20,IF(P99="Medium",10,IF(P99="Low",5,0)))+IF(Q99="High",20,IF(Q99="Medium",10,IF(Q99="Low",5,0)))+IF(R99="High",20,IF(R99="Medium",10,IF(R99="Low",5,0)))+IF(S99="High",20,IF(S99="Medium",10,IF(S99="Low",5,0)))</x:f>
        <x:v>45</x:v>
      </x:c>
      <x:c r="AF99" s="12">
        <x:f>ROUND(H99*0.30+J99*0.25+K99*0.20+(100-AE99)*0.10+(100-(V99*20))*0.15,0)</x:f>
        <x:v>69</x:v>
      </x:c>
      <x:c r="AG99" s="13" t="str">
        <x:f>IF(AF99&gt;=80,"Batch 1",IF(AF99&gt;=70,"Batch 2",IF(AF99&gt;=60,"Batch 3","Backlog")))</x:f>
        <x:v>Batch 3</x:v>
      </x:c>
      <x:c r="AH99" t="inlineStr">
        <x:is>
          <x:t xml:space="preserve"/>
        </x:is>
      </x:c>
    </x:row>
    <x:row r="100">
      <x:c r="A100" s="5" t="inlineStr">
        <x:is>
          <x:t xml:space="preserve">GPO-HEA-02</x:t>
        </x:is>
      </x:c>
      <x:c r="B100" s="5" t="n">
        <x:v>96</x:v>
      </x:c>
      <x:c r="C100" s="5" t="inlineStr">
        <x:is>
          <x:t xml:space="preserve">Health &amp; Wellness Coach</x:t>
        </x:is>
      </x:c>
      <x:c r="D100" s="5" t="inlineStr">
        <x:is>
          <x:t xml:space="preserve">Care</x:t>
        </x:is>
      </x:c>
      <x:c r="E100" s="5" t="inlineStr">
        <x:is>
          <x:t xml:space="preserve">Core 150</x:t>
        </x:is>
      </x:c>
      <x:c r="F100" s="5" t="n">
        <x:v>2</x:v>
      </x:c>
      <x:c r="G100" s="5" t="inlineStr">
        <x:is>
          <x:t xml:space="preserve">Create a practical weight-loss/body-recomp plan based on my lifestyle and food preferences.</x:t>
        </x:is>
      </x:c>
      <x:c r="H100" s="6" t="n">
        <x:v>73</x:v>
      </x:c>
      <x:c r="I100" s="6" t="n">
        <x:v>73</x:v>
      </x:c>
      <x:c r="J100" s="7" t="n">
        <x:v>61</x:v>
      </x:c>
      <x:c r="K100" s="7" t="n">
        <x:v>68</x:v>
      </x:c>
      <x:c r="L100" s="8" t="inlineStr">
        <x:is>
          <x:t xml:space="preserve">UNTESTED</x:t>
        </x:is>
      </x:c>
      <x:c r="M100" s="9" t="inlineStr">
        <x:is>
          <x:t xml:space="preserve">UNTESTED</x:t>
        </x:is>
      </x:c>
      <x:c r="N100" s="5" t="inlineStr">
        <x:is>
          <x:t xml:space="preserve">health explanation; risk framing; behavior coaching; careful disclaimer handling</x:t>
        </x:is>
      </x:c>
      <x:c r="O100" s="5" t="inlineStr">
        <x:is>
          <x:t xml:space="preserve">Medium</x:t>
        </x:is>
      </x:c>
      <x:c r="P100" s="5" t="inlineStr">
        <x:is>
          <x:t xml:space="preserve">High</x:t>
        </x:is>
      </x:c>
      <x:c r="Q100" s="5" t="inlineStr">
        <x:is>
          <x:t xml:space="preserve">Low</x:t>
        </x:is>
      </x:c>
      <x:c r="R100" s="5" t="inlineStr">
        <x:is>
          <x:t xml:space="preserve">Low</x:t>
        </x:is>
      </x:c>
      <x:c r="S100" s="5" t="inlineStr">
        <x:is>
          <x:t xml:space="preserve">Medium</x:t>
        </x:is>
      </x:c>
      <x:c r="T100" s="5" t="inlineStr">
        <x:is>
          <x:t xml:space="preserve">ChatGPT primary with careful guardrails</x:t>
        </x:is>
      </x:c>
      <x:c r="U100" s="5" t="inlineStr">
        <x:is>
          <x:t xml:space="preserve">Medium</x:t>
        </x:is>
      </x:c>
      <x:c r="V100" s="10" t="n">
        <x:v>2</x:v>
      </x:c>
      <x:c r="W100" s="5" t="inlineStr">
        <x:is>
          <x:t xml:space="preserve">Scenario prompts + safety review + usefulness review</x:t>
        </x:is>
      </x:c>
      <x:c r="X100" s="5" t="inlineStr">
        <x:is>
          <x:t xml:space="preserve">plan / explanation / checklist / prep brief</x:t>
        </x:is>
      </x:c>
      <x:c r="Y100" s="5" t="inlineStr">
        <x:is>
          <x:t xml:space="preserve">Useful, cautious, practical guidance that stays within safe boundaries.</x:t>
        </x:is>
      </x:c>
      <x:c r="Z100" s="5" t="inlineStr">
        <x:is>
          <x:t xml:space="preserve">Overconfident medical claims, weak escalation guidance, or unsafe advice.</x:t>
        </x:is>
      </x:c>
      <x:c r="AA100" s="5" t="inlineStr">
        <x:is>
          <x:t xml:space="preserve">safety layer / health mode / evidence grounding</x:t>
        </x:is>
      </x:c>
      <x:c r="AB100" s="5" t="inlineStr">
        <x:is>
          <x:t xml:space="preserve"/>
        </x:is>
      </x:c>
      <x:c r="AC100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00" s="5" t="inlineStr">
        <x:is>
          <x:t xml:space="preserve">OpenAI Introducing GPT-5; APPC 2025 health survey; Deloitte Connected Consumer 2025</x:t>
        </x:is>
      </x:c>
      <x:c r="AE100" s="11">
        <x:f>IF(O100="High",20,IF(O100="Medium",10,IF(O100="Low",5,0)))+IF(P100="High",20,IF(P100="Medium",10,IF(P100="Low",5,0)))+IF(Q100="High",20,IF(Q100="Medium",10,IF(Q100="Low",5,0)))+IF(R100="High",20,IF(R100="Medium",10,IF(R100="Low",5,0)))+IF(S100="High",20,IF(S100="Medium",10,IF(S100="Low",5,0)))</x:f>
        <x:v>50</x:v>
      </x:c>
      <x:c r="AF100" s="12">
        <x:f>ROUND(H100*0.30+J100*0.25+K100*0.20+(100-AE100)*0.10+(100-(V100*20))*0.15,0)</x:f>
        <x:v>65</x:v>
      </x:c>
      <x:c r="AG100" s="13" t="str">
        <x:f>IF(AF100&gt;=80,"Batch 1",IF(AF100&gt;=70,"Batch 2",IF(AF100&gt;=60,"Batch 3","Backlog")))</x:f>
        <x:v>Batch 3</x:v>
      </x:c>
      <x:c r="AH100" t="inlineStr">
        <x:is>
          <x:t xml:space="preserve"/>
        </x:is>
      </x:c>
    </x:row>
    <x:row r="101">
      <x:c r="A101" s="5" t="inlineStr">
        <x:is>
          <x:t xml:space="preserve">GPO-PER-05</x:t>
        </x:is>
      </x:c>
      <x:c r="B101" s="5" t="n">
        <x:v>97</x:v>
      </x:c>
      <x:c r="C101" s="5" t="inlineStr">
        <x:is>
          <x:t xml:space="preserve">Personal Finance &amp; Investing</x:t>
        </x:is>
      </x:c>
      <x:c r="D101" s="5" t="inlineStr">
        <x:is>
          <x:t xml:space="preserve">Money</x:t>
        </x:is>
      </x:c>
      <x:c r="E101" s="5" t="inlineStr">
        <x:is>
          <x:t xml:space="preserve">Core 150</x:t>
        </x:is>
      </x:c>
      <x:c r="F101" s="5" t="n">
        <x:v>5</x:v>
      </x:c>
      <x:c r="G101" s="5" t="inlineStr">
        <x:is>
          <x:t xml:space="preserve">Review my spending and tell me what is quietly destroying my wealth.</x:t>
        </x:is>
      </x:c>
      <x:c r="H101" s="6" t="n">
        <x:v>63</x:v>
      </x:c>
      <x:c r="I101" s="6" t="n">
        <x:v>63</x:v>
      </x:c>
      <x:c r="J101" s="7" t="n">
        <x:v>75</x:v>
      </x:c>
      <x:c r="K101" s="7" t="n">
        <x:v>68</x:v>
      </x:c>
      <x:c r="L101" s="8" t="inlineStr">
        <x:is>
          <x:t xml:space="preserve">UNTESTED</x:t>
        </x:is>
      </x:c>
      <x:c r="M101" s="9" t="inlineStr">
        <x:is>
          <x:t xml:space="preserve">UNTESTED</x:t>
        </x:is>
      </x:c>
      <x:c r="N101" s="5" t="inlineStr">
        <x:is>
          <x:t xml:space="preserve">scenario modeling; budgeting; portfolio reasoning; decision framing</x:t>
        </x:is>
      </x:c>
      <x:c r="O101" s="5" t="inlineStr">
        <x:is>
          <x:t xml:space="preserve">Medium</x:t>
        </x:is>
      </x:c>
      <x:c r="P101" s="5" t="inlineStr">
        <x:is>
          <x:t xml:space="preserve">High</x:t>
        </x:is>
      </x:c>
      <x:c r="Q101" s="5" t="inlineStr">
        <x:is>
          <x:t xml:space="preserve">Medium</x:t>
        </x:is>
      </x:c>
      <x:c r="R101" s="5" t="inlineStr">
        <x:is>
          <x:t xml:space="preserve">Low</x:t>
        </x:is>
      </x:c>
      <x:c r="S101" s="5" t="inlineStr">
        <x:is>
          <x:t xml:space="preserve">Medium</x:t>
        </x:is>
      </x:c>
      <x:c r="T101" s="5" t="inlineStr">
        <x:is>
          <x:t xml:space="preserve">ChatGPT or Claude with spreadsheet support</x:t>
        </x:is>
      </x:c>
      <x:c r="U101" s="5" t="inlineStr">
        <x:is>
          <x:t xml:space="preserve">Easy</x:t>
        </x:is>
      </x:c>
      <x:c r="V101" s="10" t="n">
        <x:v>1</x:v>
      </x:c>
      <x:c r="W101" s="5" t="inlineStr">
        <x:is>
          <x:t xml:space="preserve">Scenario modeling + coherence review</x:t>
        </x:is>
      </x:c>
      <x:c r="X101" s="5" t="inlineStr">
        <x:is>
          <x:t xml:space="preserve">budget / model / plan / recommendation</x:t>
        </x:is>
      </x:c>
      <x:c r="Y101" s="5" t="inlineStr">
        <x:is>
          <x:t xml:space="preserve">Advice is numerically coherent, practical, and transparent about assumptions.</x:t>
        </x:is>
      </x:c>
      <x:c r="Z101" s="5" t="inlineStr">
        <x:is>
          <x:t xml:space="preserve">Bad math, missing assumptions, or overconfident investment guidance.</x:t>
        </x:is>
      </x:c>
      <x:c r="AA101" s="5" t="inlineStr">
        <x:is>
          <x:t xml:space="preserve">financial calculator / assumption schema / spreadsheet outputs</x:t>
        </x:is>
      </x:c>
      <x:c r="AB101" s="5" t="inlineStr">
        <x:is>
          <x:t xml:space="preserve"/>
        </x:is>
      </x:c>
      <x:c r="AC101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01" s="5" t="inlineStr">
        <x:is>
          <x:t xml:space="preserve">FNBO Financial Wellbeing Study 2025; NerdWallet/Harris Poll 2026; PlanAdviser 2026</x:t>
        </x:is>
      </x:c>
      <x:c r="AE101" s="11">
        <x:f>IF(O101="High",20,IF(O101="Medium",10,IF(O101="Low",5,0)))+IF(P101="High",20,IF(P101="Medium",10,IF(P101="Low",5,0)))+IF(Q101="High",20,IF(Q101="Medium",10,IF(Q101="Low",5,0)))+IF(R101="High",20,IF(R101="Medium",10,IF(R101="Low",5,0)))+IF(S101="High",20,IF(S101="Medium",10,IF(S101="Low",5,0)))</x:f>
        <x:v>55</x:v>
      </x:c>
      <x:c r="AF101" s="12">
        <x:f>ROUND(H101*0.30+J101*0.25+K101*0.20+(100-AE101)*0.10+(100-(V101*20))*0.15,0)</x:f>
        <x:v>68</x:v>
      </x:c>
      <x:c r="AG101" s="13" t="str">
        <x:f>IF(AF101&gt;=80,"Batch 1",IF(AF101&gt;=70,"Batch 2",IF(AF101&gt;=60,"Batch 3","Backlog")))</x:f>
        <x:v>Batch 3</x:v>
      </x:c>
      <x:c r="AH101" t="inlineStr">
        <x:is>
          <x:t xml:space="preserve"/>
        </x:is>
      </x:c>
    </x:row>
    <x:row r="102">
      <x:c r="A102" s="5" t="inlineStr">
        <x:is>
          <x:t xml:space="preserve">GPO-SHO-09</x:t>
        </x:is>
      </x:c>
      <x:c r="B102" s="5" t="n">
        <x:v>98</x:v>
      </x:c>
      <x:c r="C102" s="5" t="inlineStr">
        <x:is>
          <x:t xml:space="preserve">Shopping &amp; Buying Advisor</x:t>
        </x:is>
      </x:c>
      <x:c r="D102" s="5" t="inlineStr">
        <x:is>
          <x:t xml:space="preserve">Buy</x:t>
        </x:is>
      </x:c>
      <x:c r="E102" s="5" t="inlineStr">
        <x:is>
          <x:t xml:space="preserve">Core 150</x:t>
        </x:is>
      </x:c>
      <x:c r="F102" s="5" t="n">
        <x:v>9</x:v>
      </x:c>
      <x:c r="G102" s="5" t="inlineStr">
        <x:is>
          <x:t xml:space="preserve">Help me choose between convenience, longevity, repairability, and performance for web app.</x:t>
        </x:is>
      </x:c>
      <x:c r="H102" s="6" t="n">
        <x:v>60</x:v>
      </x:c>
      <x:c r="I102" s="6" t="n">
        <x:v>60</x:v>
      </x:c>
      <x:c r="J102" s="7" t="n">
        <x:v>79</x:v>
      </x:c>
      <x:c r="K102" s="7" t="n">
        <x:v>69</x:v>
      </x:c>
      <x:c r="L102" s="8" t="inlineStr">
        <x:is>
          <x:t xml:space="preserve">UNTESTED</x:t>
        </x:is>
      </x:c>
      <x:c r="M102" s="9" t="inlineStr">
        <x:is>
          <x:t xml:space="preserve">UNTESTED</x:t>
        </x:is>
      </x:c>
      <x:c r="N102" s="5" t="inlineStr">
        <x:is>
          <x:t xml:space="preserve">web/product research; comparison; price-value reasoning; shortlist generation</x:t>
        </x:is>
      </x:c>
      <x:c r="O102" s="5" t="inlineStr">
        <x:is>
          <x:t xml:space="preserve">High</x:t>
        </x:is>
      </x:c>
      <x:c r="P102" s="5" t="inlineStr">
        <x:is>
          <x:t xml:space="preserve">Medium</x:t>
        </x:is>
      </x:c>
      <x:c r="Q102" s="5" t="inlineStr">
        <x:is>
          <x:t xml:space="preserve">Medium</x:t>
        </x:is>
      </x:c>
      <x:c r="R102" s="5" t="inlineStr">
        <x:is>
          <x:t xml:space="preserve">Low</x:t>
        </x:is>
      </x:c>
      <x:c r="S102" s="5" t="inlineStr">
        <x:is>
          <x:t xml:space="preserve">Low</x:t>
        </x:is>
      </x:c>
      <x:c r="T102" s="5" t="inlineStr">
        <x:is>
          <x:t xml:space="preserve">ChatGPT with web</x:t>
        </x:is>
      </x:c>
      <x:c r="U102" s="5" t="inlineStr">
        <x:is>
          <x:t xml:space="preserve">Easy</x:t>
        </x:is>
      </x:c>
      <x:c r="V102" s="10" t="n">
        <x:v>1</x:v>
      </x:c>
      <x:c r="W102" s="5" t="inlineStr">
        <x:is>
          <x:t xml:space="preserve">Live shopping query + recommendation validation</x:t>
        </x:is>
      </x:c>
      <x:c r="X102" s="5" t="inlineStr">
        <x:is>
          <x:t xml:space="preserve">shortlist / recommendation / comparison / cart plan</x:t>
        </x:is>
      </x:c>
      <x:c r="Y102" s="5" t="inlineStr">
        <x:is>
          <x:t xml:space="preserve">Recommendation fits constraints and explains tradeoffs clearly.</x:t>
        </x:is>
      </x:c>
      <x:c r="Z102" s="5" t="inlineStr">
        <x:is>
          <x:t xml:space="preserve">Outdated products, poor fit, missed constraints, or shallow comparison.</x:t>
        </x:is>
      </x:c>
      <x:c r="AA102" s="5" t="inlineStr">
        <x:is>
          <x:t xml:space="preserve">web/product retrieval / comparison template / user preference memory</x:t>
        </x:is>
      </x:c>
      <x:c r="AB102" s="5" t="inlineStr">
        <x:is>
          <x:t xml:space="preserve"/>
        </x:is>
      </x:c>
      <x:c r="AC102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02" s="5" t="inlineStr">
        <x:is>
          <x:t xml:space="preserve">Deloitte Connected Consumer 2025; Salesforce Connected Shopper 2025; IAB 2025 shopping study</x:t>
        </x:is>
      </x:c>
      <x:c r="AE102" s="11">
        <x:f>IF(O102="High",20,IF(O102="Medium",10,IF(O102="Low",5,0)))+IF(P102="High",20,IF(P102="Medium",10,IF(P102="Low",5,0)))+IF(Q102="High",20,IF(Q102="Medium",10,IF(Q102="Low",5,0)))+IF(R102="High",20,IF(R102="Medium",10,IF(R102="Low",5,0)))+IF(S102="High",20,IF(S102="Medium",10,IF(S102="Low",5,0)))</x:f>
        <x:v>50</x:v>
      </x:c>
      <x:c r="AF102" s="12">
        <x:f>ROUND(H102*0.30+J102*0.25+K102*0.20+(100-AE102)*0.10+(100-(V102*20))*0.15,0)</x:f>
        <x:v>69</x:v>
      </x:c>
      <x:c r="AG102" s="13" t="str">
        <x:f>IF(AF102&gt;=80,"Batch 1",IF(AF102&gt;=70,"Batch 2",IF(AF102&gt;=60,"Batch 3","Backlog")))</x:f>
        <x:v>Batch 3</x:v>
      </x:c>
      <x:c r="AH102" t="inlineStr">
        <x:is>
          <x:t xml:space="preserve"/>
        </x:is>
      </x:c>
    </x:row>
    <x:row r="103">
      <x:c r="A103" s="5" t="inlineStr">
        <x:is>
          <x:t xml:space="preserve">GPO-STA-05</x:t>
        </x:is>
      </x:c>
      <x:c r="B103" s="5" t="n">
        <x:v>99</x:v>
      </x:c>
      <x:c r="C103" s="5" t="inlineStr">
        <x:is>
          <x:t xml:space="preserve">Startup &amp; Business Builder</x:t>
        </x:is>
      </x:c>
      <x:c r="D103" s="5" t="inlineStr">
        <x:is>
          <x:t xml:space="preserve">Build</x:t>
        </x:is>
      </x:c>
      <x:c r="E103" s="5" t="inlineStr">
        <x:is>
          <x:t xml:space="preserve">Core 150</x:t>
        </x:is>
      </x:c>
      <x:c r="F103" s="5" t="n">
        <x:v>5</x:v>
      </x:c>
      <x:c r="G103" s="5" t="inlineStr">
        <x:is>
          <x:t xml:space="preserve">Find the fastest path from concept to paying customers for {idea}.</x:t>
        </x:is>
      </x:c>
      <x:c r="H103" s="6" t="n">
        <x:v>61</x:v>
      </x:c>
      <x:c r="I103" s="6" t="n">
        <x:v>61</x:v>
      </x:c>
      <x:c r="J103" s="7" t="n">
        <x:v>77</x:v>
      </x:c>
      <x:c r="K103" s="7" t="n">
        <x:v>68</x:v>
      </x:c>
      <x:c r="L103" s="8" t="inlineStr">
        <x:is>
          <x:t xml:space="preserve">UNTESTED</x:t>
        </x:is>
      </x:c>
      <x:c r="M103" s="9" t="inlineStr">
        <x:is>
          <x:t xml:space="preserve">UNTESTED</x:t>
        </x:is>
      </x:c>
      <x:c r="N103" s="5" t="inlineStr">
        <x:is>
          <x:t xml:space="preserve">strategy; product thinking; GTM reasoning; structured planning</x:t>
        </x:is>
      </x:c>
      <x:c r="O103" s="5" t="inlineStr">
        <x:is>
          <x:t xml:space="preserve">Medium</x:t>
        </x:is>
      </x:c>
      <x:c r="P103" s="5" t="inlineStr">
        <x:is>
          <x:t xml:space="preserve">High</x:t>
        </x:is>
      </x:c>
      <x:c r="Q103" s="5" t="inlineStr">
        <x:is>
          <x:t xml:space="preserve">Low</x:t>
        </x:is>
      </x:c>
      <x:c r="R103" s="5" t="inlineStr">
        <x:is>
          <x:t xml:space="preserve">Medium</x:t>
        </x:is>
      </x:c>
      <x:c r="S103" s="5" t="inlineStr">
        <x:is>
          <x:t xml:space="preserve">Low</x:t>
        </x:is>
      </x:c>
      <x:c r="T103" s="5" t="inlineStr">
        <x:is>
          <x:t xml:space="preserve">Claude + ChatGPT combo</x:t>
        </x:is>
      </x:c>
      <x:c r="U103" s="5" t="inlineStr">
        <x:is>
          <x:t xml:space="preserve">Easy</x:t>
        </x:is>
      </x:c>
      <x:c r="V103" s="10" t="n">
        <x:v>1</x:v>
      </x:c>
      <x:c r="W103" s="5" t="inlineStr">
        <x:is>
          <x:t xml:space="preserve">Plan generation + critique + strategic review</x:t>
        </x:is>
      </x:c>
      <x:c r="X103" s="5" t="inlineStr">
        <x:is>
          <x:t xml:space="preserve">roadmap / GTM plan / business memo</x:t>
        </x:is>
      </x:c>
      <x:c r="Y103" s="5" t="inlineStr">
        <x:is>
          <x:t xml:space="preserve">Recommendation is strategically sharp, prioritized, and grounded in market reality.</x:t>
        </x:is>
      </x:c>
      <x:c r="Z103" s="5" t="inlineStr">
        <x:is>
          <x:t xml:space="preserve">Buzzwordy output, no wedge, weak prioritization, or unearned confidence.</x:t>
        </x:is>
      </x:c>
      <x:c r="AA103" s="5" t="inlineStr">
        <x:is>
          <x:t xml:space="preserve">strategy templates / board logic / critique loop</x:t>
        </x:is>
      </x:c>
      <x:c r="AB103" s="5" t="inlineStr">
        <x:is>
          <x:t xml:space="preserve"/>
        </x:is>
      </x:c>
      <x:c r="AC103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03" s="5" t="inlineStr">
        <x:is>
          <x:t xml:space="preserve">OpenAI How People Use ChatGPT paper; Menlo State of Consumer AI 2025; Menlo AI UI Problem 2025</x:t>
        </x:is>
      </x:c>
      <x:c r="AE103" s="11">
        <x:f>IF(O103="High",20,IF(O103="Medium",10,IF(O103="Low",5,0)))+IF(P103="High",20,IF(P103="Medium",10,IF(P103="Low",5,0)))+IF(Q103="High",20,IF(Q103="Medium",10,IF(Q103="Low",5,0)))+IF(R103="High",20,IF(R103="Medium",10,IF(R103="Low",5,0)))+IF(S103="High",20,IF(S103="Medium",10,IF(S103="Low",5,0)))</x:f>
        <x:v>50</x:v>
      </x:c>
      <x:c r="AF103" s="12">
        <x:f>ROUND(H103*0.30+J103*0.25+K103*0.20+(100-AE103)*0.10+(100-(V103*20))*0.15,0)</x:f>
        <x:v>68</x:v>
      </x:c>
      <x:c r="AG103" s="13" t="str">
        <x:f>IF(AF103&gt;=80,"Batch 1",IF(AF103&gt;=70,"Batch 2",IF(AF103&gt;=60,"Batch 3","Backlog")))</x:f>
        <x:v>Batch 3</x:v>
      </x:c>
      <x:c r="AH103" t="inlineStr">
        <x:is>
          <x:t xml:space="preserve"/>
        </x:is>
      </x:c>
    </x:row>
    <x:row r="104">
      <x:c r="A104" s="5" t="inlineStr">
        <x:is>
          <x:t xml:space="preserve">GPO-COD-16</x:t>
        </x:is>
      </x:c>
      <x:c r="B104" s="5" t="n">
        <x:v>100</x:v>
      </x:c>
      <x:c r="C104" s="5" t="inlineStr">
        <x:is>
          <x:t xml:space="preserve">Code &amp; Product Engineering</x:t>
        </x:is>
      </x:c>
      <x:c r="D104" s="5" t="inlineStr">
        <x:is>
          <x:t xml:space="preserve">Build</x:t>
        </x:is>
      </x:c>
      <x:c r="E104" s="5" t="inlineStr">
        <x:is>
          <x:t xml:space="preserve">Expansion 150</x:t>
        </x:is>
      </x:c>
      <x:c r="F104" s="5" t="n">
        <x:v>16</x:v>
      </x:c>
      <x:c r="G104" s="5" t="inlineStr">
        <x:is>
          <x:t xml:space="preserve">Evaluate whether {feature_request} should be built now, later, or rejected based on effort and impact.</x:t>
        </x:is>
      </x:c>
      <x:c r="H104" s="6" t="n">
        <x:v>59</x:v>
      </x:c>
      <x:c r="I104" s="6" t="n">
        <x:v>59</x:v>
      </x:c>
      <x:c r="J104" s="7" t="n">
        <x:v>80</x:v>
      </x:c>
      <x:c r="K104" s="7" t="n">
        <x:v>68</x:v>
      </x:c>
      <x:c r="L104" s="8" t="inlineStr">
        <x:is>
          <x:t xml:space="preserve">UNTESTED</x:t>
        </x:is>
      </x:c>
      <x:c r="M104" s="9" t="inlineStr">
        <x:is>
          <x:t xml:space="preserve">UNTESTED</x:t>
        </x:is>
      </x:c>
      <x:c r="N104" s="5" t="inlineStr">
        <x:is>
          <x:t xml:space="preserve">routing; code reasoning; repo context; file edit; test execution; structured output</x:t>
        </x:is>
      </x:c>
      <x:c r="O104" s="5" t="inlineStr">
        <x:is>
          <x:t xml:space="preserve">No</x:t>
        </x:is>
      </x:c>
      <x:c r="P104" s="5" t="inlineStr">
        <x:is>
          <x:t xml:space="preserve">Medium</x:t>
        </x:is>
      </x:c>
      <x:c r="Q104" s="5" t="inlineStr">
        <x:is>
          <x:t xml:space="preserve">High</x:t>
        </x:is>
      </x:c>
      <x:c r="R104" s="5" t="inlineStr">
        <x:is>
          <x:t xml:space="preserve">Medium</x:t>
        </x:is>
      </x:c>
      <x:c r="S104" s="5" t="inlineStr">
        <x:is>
          <x:t xml:space="preserve">Low</x:t>
        </x:is>
      </x:c>
      <x:c r="T104" s="5" t="inlineStr">
        <x:is>
          <x:t xml:space="preserve">Claude Code primary; ChatGPT critique; web optional</x:t>
        </x:is>
      </x:c>
      <x:c r="U104" s="5" t="inlineStr">
        <x:is>
          <x:t xml:space="preserve">Medium</x:t>
        </x:is>
      </x:c>
      <x:c r="V104" s="10" t="n">
        <x:v>2</x:v>
      </x:c>
      <x:c r="W104" s="5" t="inlineStr">
        <x:is>
          <x:t xml:space="preserve">Live execution + code diff + output review</x:t>
        </x:is>
      </x:c>
      <x:c r="X104" s="5" t="inlineStr">
        <x:is>
          <x:t xml:space="preserve">code patch / spec / architecture / debug report</x:t>
        </x:is>
      </x:c>
      <x:c r="Y104" s="5" t="inlineStr">
        <x:is>
          <x:t xml:space="preserve">Produces correct technical plan or working code without breaking current behavior.</x:t>
        </x:is>
      </x:c>
      <x:c r="Z104" s="5" t="inlineStr">
        <x:is>
          <x:t xml:space="preserve">Hallucinated codebase facts, unsafe refactor, broken tests, or vague technical output.</x:t>
        </x:is>
      </x:c>
      <x:c r="AA104" s="5" t="inlineStr">
        <x:is>
          <x:t xml:space="preserve">routing / tool wiring / repo context / codegen guardrails</x:t>
        </x:is>
      </x:c>
      <x:c r="AB104" s="5" t="inlineStr">
        <x:is>
          <x:t xml:space="preserve"/>
        </x:is>
      </x:c>
      <x:c r="AC104" s="5" t="inlineStr">
        <x:is>
          <x:t xml:space="preserve">OpenAI/common use: writing+coding; Menlo enterprise coding is 55% of departmental AI spend; Deloitte top app: work assistance.</x:t>
        </x:is>
      </x:c>
      <x:c r="AD104" s="5" t="inlineStr">
        <x:is>
          <x:t xml:space="preserve">OpenAI GPT-5 / How People Use ChatGPT; Menlo State of GenAI in Enterprise 2025; Deloitte Connected Consumer 2025</x:t>
        </x:is>
      </x:c>
      <x:c r="AE104" s="11">
        <x:f>IF(O104="High",20,IF(O104="Medium",10,IF(O104="Low",5,0)))+IF(P104="High",20,IF(P104="Medium",10,IF(P104="Low",5,0)))+IF(Q104="High",20,IF(Q104="Medium",10,IF(Q104="Low",5,0)))+IF(R104="High",20,IF(R104="Medium",10,IF(R104="Low",5,0)))+IF(S104="High",20,IF(S104="Medium",10,IF(S104="Low",5,0)))</x:f>
        <x:v>45</x:v>
      </x:c>
      <x:c r="AF104" s="12">
        <x:f>ROUND(H104*0.30+J104*0.25+K104*0.20+(100-AE104)*0.10+(100-(V104*20))*0.15,0)</x:f>
        <x:v>66</x:v>
      </x:c>
      <x:c r="AG104" s="13" t="str">
        <x:f>IF(AF104&gt;=80,"Batch 1",IF(AF104&gt;=70,"Batch 2",IF(AF104&gt;=60,"Batch 3","Backlog")))</x:f>
        <x:v>Batch 3</x:v>
      </x:c>
      <x:c r="AH104" t="inlineStr">
        <x:is>
          <x:t xml:space="preserve"/>
        </x:is>
      </x:c>
    </x:row>
    <x:row r="105">
      <x:c r="A105" s="5" t="inlineStr">
        <x:is>
          <x:t xml:space="preserve">GPO-LEA-13</x:t>
        </x:is>
      </x:c>
      <x:c r="B105" s="5" t="n">
        <x:v>101</x:v>
      </x:c>
      <x:c r="C105" s="5" t="inlineStr">
        <x:is>
          <x:t xml:space="preserve">Learning &amp; Tutoring</x:t>
        </x:is>
      </x:c>
      <x:c r="D105" s="5" t="inlineStr">
        <x:is>
          <x:t xml:space="preserve">Grow</x:t>
        </x:is>
      </x:c>
      <x:c r="E105" s="5" t="inlineStr">
        <x:is>
          <x:t xml:space="preserve">Expansion 150</x:t>
        </x:is>
      </x:c>
      <x:c r="F105" s="5" t="n">
        <x:v>13</x:v>
      </x:c>
      <x:c r="G105" s="5" t="inlineStr">
        <x:is>
          <x:t xml:space="preserve">Create a memory system to retain {topic} long term.</x:t>
        </x:is>
      </x:c>
      <x:c r="H105" s="6" t="n">
        <x:v>59</x:v>
      </x:c>
      <x:c r="I105" s="6" t="n">
        <x:v>59</x:v>
      </x:c>
      <x:c r="J105" s="7" t="n">
        <x:v>80</x:v>
      </x:c>
      <x:c r="K105" s="7" t="n">
        <x:v>68</x:v>
      </x:c>
      <x:c r="L105" s="8" t="inlineStr">
        <x:is>
          <x:t xml:space="preserve">UNTESTED</x:t>
        </x:is>
      </x:c>
      <x:c r="M105" s="9" t="inlineStr">
        <x:is>
          <x:t xml:space="preserve">UNTESTED</x:t>
        </x:is>
      </x:c>
      <x:c r="N105" s="5" t="inlineStr">
        <x:is>
          <x:t xml:space="preserve">adaptive tutoring; curriculum planning; quiz generation; context retention</x:t>
        </x:is>
      </x:c>
      <x:c r="O105" s="5" t="inlineStr">
        <x:is>
          <x:t xml:space="preserve">Low</x:t>
        </x:is>
      </x:c>
      <x:c r="P105" s="5" t="inlineStr">
        <x:is>
          <x:t xml:space="preserve">High</x:t>
        </x:is>
      </x:c>
      <x:c r="Q105" s="5" t="inlineStr">
        <x:is>
          <x:t xml:space="preserve">Low</x:t>
        </x:is>
      </x:c>
      <x:c r="R105" s="5" t="inlineStr">
        <x:is>
          <x:t xml:space="preserve">Low</x:t>
        </x:is>
      </x:c>
      <x:c r="S105" s="5" t="inlineStr">
        <x:is>
          <x:t xml:space="preserve">Low</x:t>
        </x:is>
      </x:c>
      <x:c r="T105" s="5" t="inlineStr">
        <x:is>
          <x:t xml:space="preserve">ChatGPT primary</x:t>
        </x:is>
      </x:c>
      <x:c r="U105" s="5" t="inlineStr">
        <x:is>
          <x:t xml:space="preserve">Easy</x:t>
        </x:is>
      </x:c>
      <x:c r="V105" s="10" t="n">
        <x:v>1</x:v>
      </x:c>
      <x:c r="W105" s="5" t="inlineStr">
        <x:is>
          <x:t xml:space="preserve">Interactive tutoring session + quality review</x:t>
        </x:is>
      </x:c>
      <x:c r="X105" s="5" t="inlineStr">
        <x:is>
          <x:t xml:space="preserve">lesson / plan / quiz / explanation</x:t>
        </x:is>
      </x:c>
      <x:c r="Y105" s="5" t="inlineStr">
        <x:is>
          <x:t xml:space="preserve">Teaching is accurate, adaptive, and improves understanding rather than over-answering.</x:t>
        </x:is>
      </x:c>
      <x:c r="Z105" s="5" t="inlineStr">
        <x:is>
          <x:t xml:space="preserve">Wrong explanations, over-helping, no adaptation, or generic curriculum.</x:t>
        </x:is>
      </x:c>
      <x:c r="AA105" s="5" t="inlineStr">
        <x:is>
          <x:t xml:space="preserve">tutor mode / memory / scaffolding logic</x:t>
        </x:is>
      </x:c>
      <x:c r="AB105" s="5" t="inlineStr">
        <x:is>
          <x:t xml:space="preserve"/>
        </x:is>
      </x:c>
      <x:c r="AC105" s="5" t="inlineStr">
        <x:is>
          <x:t xml:space="preserve">OpenAI practical guidance includes tutoring; HEPI 2025 says 88% of students use GenAI for assessments, often to explain concepts and summarize articles.</x:t>
        </x:is>
      </x:c>
      <x:c r="AD105" s="5" t="inlineStr">
        <x:is>
          <x:t xml:space="preserve">OpenAI How People Use ChatGPT paper; HEPI Student Generative AI Survey 2025; Brookings 2026 tutoring article</x:t>
        </x:is>
      </x:c>
      <x:c r="AE105" s="11">
        <x:f>IF(O105="High",20,IF(O105="Medium",10,IF(O105="Low",5,0)))+IF(P105="High",20,IF(P105="Medium",10,IF(P105="Low",5,0)))+IF(Q105="High",20,IF(Q105="Medium",10,IF(Q105="Low",5,0)))+IF(R105="High",20,IF(R105="Medium",10,IF(R105="Low",5,0)))+IF(S105="High",20,IF(S105="Medium",10,IF(S105="Low",5,0)))</x:f>
        <x:v>40</x:v>
      </x:c>
      <x:c r="AF105" s="12">
        <x:f>ROUND(H105*0.30+J105*0.25+K105*0.20+(100-AE105)*0.10+(100-(V105*20))*0.15,0)</x:f>
        <x:v>69</x:v>
      </x:c>
      <x:c r="AG105" s="13" t="str">
        <x:f>IF(AF105&gt;=80,"Batch 1",IF(AF105&gt;=70,"Batch 2",IF(AF105&gt;=60,"Batch 3","Backlog")))</x:f>
        <x:v>Batch 3</x:v>
      </x:c>
      <x:c r="AH105" t="inlineStr">
        <x:is>
          <x:t xml:space="preserve"/>
        </x:is>
      </x:c>
    </x:row>
    <x:row r="106">
      <x:c r="A106" s="5" t="inlineStr">
        <x:is>
          <x:t xml:space="preserve">GPO-WRI-16</x:t>
        </x:is>
      </x:c>
      <x:c r="B106" s="5" t="n">
        <x:v>102</x:v>
      </x:c>
      <x:c r="C106" s="5" t="inlineStr">
        <x:is>
          <x:t xml:space="preserve">Writing &amp; Documentation</x:t>
        </x:is>
      </x:c>
      <x:c r="D106" s="5" t="inlineStr">
        <x:is>
          <x:t xml:space="preserve">Create</x:t>
        </x:is>
      </x:c>
      <x:c r="E106" s="5" t="inlineStr">
        <x:is>
          <x:t xml:space="preserve">Expansion 150</x:t>
        </x:is>
      </x:c>
      <x:c r="F106" s="5" t="n">
        <x:v>16</x:v>
      </x:c>
      <x:c r="G106" s="5" t="inlineStr">
        <x:is>
          <x:t xml:space="preserve">Draft a difficult personal message that is honest, respectful, and emotionally intelligent.</x:t>
        </x:is>
      </x:c>
      <x:c r="H106" s="6" t="n">
        <x:v>57</x:v>
      </x:c>
      <x:c r="I106" s="6" t="n">
        <x:v>57</x:v>
      </x:c>
      <x:c r="J106" s="7" t="n">
        <x:v>82</x:v>
      </x:c>
      <x:c r="K106" s="7" t="n">
        <x:v>68</x:v>
      </x:c>
      <x:c r="L106" s="8" t="inlineStr">
        <x:is>
          <x:t xml:space="preserve">UNTESTED</x:t>
        </x:is>
      </x:c>
      <x:c r="M106" s="9" t="inlineStr">
        <x:is>
          <x:t xml:space="preserve">UNTESTED</x:t>
        </x:is>
      </x:c>
      <x:c r="N106" s="5" t="inlineStr">
        <x:is>
          <x:t xml:space="preserve">writing quality; summarization; style control; structured artifacts</x:t>
        </x:is>
      </x:c>
      <x:c r="O106" s="5" t="inlineStr">
        <x:is>
          <x:t xml:space="preserve">Low</x:t>
        </x:is>
      </x:c>
      <x:c r="P106" s="5" t="inlineStr">
        <x:is>
          <x:t xml:space="preserve">Medium</x:t>
        </x:is>
      </x:c>
      <x:c r="Q106" s="5" t="inlineStr">
        <x:is>
          <x:t xml:space="preserve">Low</x:t>
        </x:is>
      </x:c>
      <x:c r="R106" s="5" t="inlineStr">
        <x:is>
          <x:t xml:space="preserve">Low</x:t>
        </x:is>
      </x:c>
      <x:c r="S106" s="5" t="inlineStr">
        <x:is>
          <x:t xml:space="preserve">Low</x:t>
        </x:is>
      </x:c>
      <x:c r="T106" s="5" t="inlineStr">
        <x:is>
          <x:t xml:space="preserve">ChatGPT or Claude; human review optional</x:t>
        </x:is>
      </x:c>
      <x:c r="U106" s="5" t="inlineStr">
        <x:is>
          <x:t xml:space="preserve">Easy</x:t>
        </x:is>
      </x:c>
      <x:c r="V106" s="10" t="n">
        <x:v>1</x:v>
      </x:c>
      <x:c r="W106" s="5" t="inlineStr">
        <x:is>
          <x:t xml:space="preserve">Prompt execution + artifact quality review</x:t>
        </x:is>
      </x:c>
      <x:c r="X106" s="5" t="inlineStr">
        <x:is>
          <x:t xml:space="preserve">doc / memo / email / FAQ / summary</x:t>
        </x:is>
      </x:c>
      <x:c r="Y106" s="5" t="inlineStr">
        <x:is>
          <x:t xml:space="preserve">Output is clear, tailored, structurally sound, and immediately usable.</x:t>
        </x:is>
      </x:c>
      <x:c r="Z106" s="5" t="inlineStr">
        <x:is>
          <x:t xml:space="preserve">Generic tone, missing context, weak structure, or wrong audience level.</x:t>
        </x:is>
      </x:c>
      <x:c r="AA106" s="5" t="inlineStr">
        <x:is>
          <x:t xml:space="preserve">prompt pack / style guidance / output schema</x:t>
        </x:is>
      </x:c>
      <x:c r="AB106" s="5" t="inlineStr">
        <x:is>
          <x:t xml:space="preserve"/>
        </x:is>
      </x:c>
      <x:c r="AC106" s="5" t="inlineStr">
        <x:is>
          <x:t xml:space="preserve">OpenAI usage paper: Writing is in top 3 categories; Menlo consumer AI says 19% use AI to write emails and 18% get writing support.</x:t>
        </x:is>
      </x:c>
      <x:c r="AD106" s="5" t="inlineStr">
        <x:is>
          <x:t xml:space="preserve">OpenAI How People Use ChatGPT paper; Menlo State of Consumer AI 2025</x:t>
        </x:is>
      </x:c>
      <x:c r="AE106" s="11">
        <x:f>IF(O106="High",20,IF(O106="Medium",10,IF(O106="Low",5,0)))+IF(P106="High",20,IF(P106="Medium",10,IF(P106="Low",5,0)))+IF(Q106="High",20,IF(Q106="Medium",10,IF(Q106="Low",5,0)))+IF(R106="High",20,IF(R106="Medium",10,IF(R106="Low",5,0)))+IF(S106="High",20,IF(S106="Medium",10,IF(S106="Low",5,0)))</x:f>
        <x:v>30</x:v>
      </x:c>
      <x:c r="AF106" s="12">
        <x:f>ROUND(H106*0.30+J106*0.25+K106*0.20+(100-AE106)*0.10+(100-(V106*20))*0.15,0)</x:f>
        <x:v>70</x:v>
      </x:c>
      <x:c r="AG106" s="13" t="str">
        <x:f>IF(AF106&gt;=80,"Batch 1",IF(AF106&gt;=70,"Batch 2",IF(AF106&gt;=60,"Batch 3","Backlog")))</x:f>
        <x:v>Batch 2</x:v>
      </x:c>
      <x:c r="AH106" t="inlineStr">
        <x:is>
          <x:t xml:space="preserve"/>
        </x:is>
      </x:c>
    </x:row>
    <x:row r="107">
      <x:c r="A107" s="5" t="inlineStr">
        <x:is>
          <x:t xml:space="preserve">GPO-TRA-08</x:t>
        </x:is>
      </x:c>
      <x:c r="B107" s="5" t="n">
        <x:v>103</x:v>
      </x:c>
      <x:c r="C107" s="5" t="inlineStr">
        <x:is>
          <x:t xml:space="preserve">Travel &amp; Relocation Planner</x:t>
        </x:is>
      </x:c>
      <x:c r="D107" s="5" t="inlineStr">
        <x:is>
          <x:t xml:space="preserve">Move</x:t>
        </x:is>
      </x:c>
      <x:c r="E107" s="5" t="inlineStr">
        <x:is>
          <x:t xml:space="preserve">Core 150</x:t>
        </x:is>
      </x:c>
      <x:c r="F107" s="5" t="n">
        <x:v>8</x:v>
      </x:c>
      <x:c r="G107" s="5" t="inlineStr">
        <x:is>
          <x:t xml:space="preserve">Build a luxury-but-efficient trip plan for this destination under this budget.</x:t>
        </x:is>
      </x:c>
      <x:c r="H107" s="6" t="n">
        <x:v>60</x:v>
      </x:c>
      <x:c r="I107" s="6" t="n">
        <x:v>60</x:v>
      </x:c>
      <x:c r="J107" s="7" t="n">
        <x:v>77</x:v>
      </x:c>
      <x:c r="K107" s="7" t="n">
        <x:v>68</x:v>
      </x:c>
      <x:c r="L107" s="8" t="inlineStr">
        <x:is>
          <x:t xml:space="preserve">UNTESTED</x:t>
        </x:is>
      </x:c>
      <x:c r="M107" s="9" t="inlineStr">
        <x:is>
          <x:t xml:space="preserve">UNTESTED</x:t>
        </x:is>
      </x:c>
      <x:c r="N107" s="5" t="inlineStr">
        <x:is>
          <x:t xml:space="preserve">travel research; itinerary planning; logistics reasoning; contingency planning</x:t>
        </x:is>
      </x:c>
      <x:c r="O107" s="5" t="inlineStr">
        <x:is>
          <x:t xml:space="preserve">High</x:t>
        </x:is>
      </x:c>
      <x:c r="P107" s="5" t="inlineStr">
        <x:is>
          <x:t xml:space="preserve">Medium</x:t>
        </x:is>
      </x:c>
      <x:c r="Q107" s="5" t="inlineStr">
        <x:is>
          <x:t xml:space="preserve">Medium</x:t>
        </x:is>
      </x:c>
      <x:c r="R107" s="5" t="inlineStr">
        <x:is>
          <x:t xml:space="preserve">Low</x:t>
        </x:is>
      </x:c>
      <x:c r="S107" s="5" t="inlineStr">
        <x:is>
          <x:t xml:space="preserve">Low</x:t>
        </x:is>
      </x:c>
      <x:c r="T107" s="5" t="inlineStr">
        <x:is>
          <x:t xml:space="preserve">ChatGPT with web; maps/calendar later</x:t>
        </x:is>
      </x:c>
      <x:c r="U107" s="5" t="inlineStr">
        <x:is>
          <x:t xml:space="preserve">Easy</x:t>
        </x:is>
      </x:c>
      <x:c r="V107" s="10" t="n">
        <x:v>1</x:v>
      </x:c>
      <x:c r="W107" s="5" t="inlineStr">
        <x:is>
          <x:t xml:space="preserve">Live trip planning + feasibility review</x:t>
        </x:is>
      </x:c>
      <x:c r="X107" s="5" t="inlineStr">
        <x:is>
          <x:t xml:space="preserve">itinerary / relocation plan / checklist</x:t>
        </x:is>
      </x:c>
      <x:c r="Y107" s="5" t="inlineStr">
        <x:is>
          <x:t xml:space="preserve">Plan is current, geographically sensible, and tuned to budget/constraints.</x:t>
        </x:is>
      </x:c>
      <x:c r="Z107" s="5" t="inlineStr">
        <x:is>
          <x:t xml:space="preserve">Bad logistics, stale info, wrong timing, or generic travel advice.</x:t>
        </x:is>
      </x:c>
      <x:c r="AA107" s="5" t="inlineStr">
        <x:is>
          <x:t xml:space="preserve">travel templates / web + mapping integration / logistics engine</x:t>
        </x:is>
      </x:c>
      <x:c r="AB107" s="5" t="inlineStr">
        <x:is>
          <x:t xml:space="preserve"/>
        </x:is>
      </x:c>
      <x:c r="AC107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07" s="5" t="inlineStr">
        <x:is>
          <x:t xml:space="preserve">Deloitte Connected Consumer 2025; Adobe travel planning 2025</x:t>
        </x:is>
      </x:c>
      <x:c r="AE107" s="11">
        <x:f>IF(O107="High",20,IF(O107="Medium",10,IF(O107="Low",5,0)))+IF(P107="High",20,IF(P107="Medium",10,IF(P107="Low",5,0)))+IF(Q107="High",20,IF(Q107="Medium",10,IF(Q107="Low",5,0)))+IF(R107="High",20,IF(R107="Medium",10,IF(R107="Low",5,0)))+IF(S107="High",20,IF(S107="Medium",10,IF(S107="Low",5,0)))</x:f>
        <x:v>50</x:v>
      </x:c>
      <x:c r="AF107" s="12">
        <x:f>ROUND(H107*0.30+J107*0.25+K107*0.20+(100-AE107)*0.10+(100-(V107*20))*0.15,0)</x:f>
        <x:v>68</x:v>
      </x:c>
      <x:c r="AG107" s="13" t="str">
        <x:f>IF(AF107&gt;=80,"Batch 1",IF(AF107&gt;=70,"Batch 2",IF(AF107&gt;=60,"Batch 3","Backlog")))</x:f>
        <x:v>Batch 3</x:v>
      </x:c>
      <x:c r="AH107" t="inlineStr">
        <x:is>
          <x:t xml:space="preserve"/>
        </x:is>
      </x:c>
    </x:row>
    <x:row r="108">
      <x:c r="A108" s="5" t="inlineStr">
        <x:is>
          <x:t xml:space="preserve">GPO-CAR-06</x:t>
        </x:is>
      </x:c>
      <x:c r="B108" s="5" t="n">
        <x:v>104</x:v>
      </x:c>
      <x:c r="C108" s="5" t="inlineStr">
        <x:is>
          <x:t xml:space="preserve">Career &amp; Job Search</x:t>
        </x:is>
      </x:c>
      <x:c r="D108" s="5" t="inlineStr">
        <x:is>
          <x:t xml:space="preserve">Advance</x:t>
        </x:is>
      </x:c>
      <x:c r="E108" s="5" t="inlineStr">
        <x:is>
          <x:t xml:space="preserve">Core 150</x:t>
        </x:is>
      </x:c>
      <x:c r="F108" s="5" t="n">
        <x:v>6</x:v>
      </x:c>
      <x:c r="G108" s="5" t="inlineStr">
        <x:is>
          <x:t xml:space="preserve">Analyze this job description and tell me how to position myself for it.</x:t>
        </x:is>
      </x:c>
      <x:c r="H108" s="6" t="n">
        <x:v>58</x:v>
      </x:c>
      <x:c r="I108" s="6" t="n">
        <x:v>58</x:v>
      </x:c>
      <x:c r="J108" s="7" t="n">
        <x:v>80</x:v>
      </x:c>
      <x:c r="K108" s="7" t="n">
        <x:v>68</x:v>
      </x:c>
      <x:c r="L108" s="8" t="inlineStr">
        <x:is>
          <x:t xml:space="preserve">UNTESTED</x:t>
        </x:is>
      </x:c>
      <x:c r="M108" s="9" t="inlineStr">
        <x:is>
          <x:t xml:space="preserve">UNTESTED</x:t>
        </x:is>
      </x:c>
      <x:c r="N108" s="5" t="inlineStr">
        <x:is>
          <x:t xml:space="preserve">resume tailoring; interview prep; role mapping; narrative building</x:t>
        </x:is>
      </x:c>
      <x:c r="O108" s="5" t="inlineStr">
        <x:is>
          <x:t xml:space="preserve">Medium</x:t>
        </x:is>
      </x:c>
      <x:c r="P108" s="5" t="inlineStr">
        <x:is>
          <x:t xml:space="preserve">High</x:t>
        </x:is>
      </x:c>
      <x:c r="Q108" s="5" t="inlineStr">
        <x:is>
          <x:t xml:space="preserve">Low</x:t>
        </x:is>
      </x:c>
      <x:c r="R108" s="5" t="inlineStr">
        <x:is>
          <x:t xml:space="preserve">Low</x:t>
        </x:is>
      </x:c>
      <x:c r="S108" s="5" t="inlineStr">
        <x:is>
          <x:t xml:space="preserve">Low</x:t>
        </x:is>
      </x:c>
      <x:c r="T108" s="5" t="inlineStr">
        <x:is>
          <x:t xml:space="preserve">ChatGPT primary</x:t>
        </x:is>
      </x:c>
      <x:c r="U108" s="5" t="inlineStr">
        <x:is>
          <x:t xml:space="preserve">Easy</x:t>
        </x:is>
      </x:c>
      <x:c r="V108" s="10" t="n">
        <x:v>1</x:v>
      </x:c>
      <x:c r="W108" s="5" t="inlineStr">
        <x:is>
          <x:t xml:space="preserve">Artifact review + mock interview + targeting review</x:t>
        </x:is>
      </x:c>
      <x:c r="X108" s="5" t="inlineStr">
        <x:is>
          <x:t xml:space="preserve">resume / prep plan / outreach / strategy memo</x:t>
        </x:is>
      </x:c>
      <x:c r="Y108" s="5" t="inlineStr">
        <x:is>
          <x:t xml:space="preserve">Career outputs are specific, credible, and materially improve positioning.</x:t>
        </x:is>
      </x:c>
      <x:c r="Z108" s="5" t="inlineStr">
        <x:is>
          <x:t xml:space="preserve">Generic resume language, fake-sounding stories, or weak role fit.</x:t>
        </x:is>
      </x:c>
      <x:c r="AA108" s="5" t="inlineStr">
        <x:is>
          <x:t xml:space="preserve">career templates / memory / ATS-aware output logic</x:t>
        </x:is>
      </x:c>
      <x:c r="AB108" s="5" t="inlineStr">
        <x:is>
          <x:t xml:space="preserve"/>
        </x:is>
      </x:c>
      <x:c r="AC108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08" s="5" t="inlineStr">
        <x:is>
          <x:t xml:space="preserve">Insight Global AI in Hiring Report 2025; NACE student survey 2025/2026</x:t>
        </x:is>
      </x:c>
      <x:c r="AE108" s="11">
        <x:f>IF(O108="High",20,IF(O108="Medium",10,IF(O108="Low",5,0)))+IF(P108="High",20,IF(P108="Medium",10,IF(P108="Low",5,0)))+IF(Q108="High",20,IF(Q108="Medium",10,IF(Q108="Low",5,0)))+IF(R108="High",20,IF(R108="Medium",10,IF(R108="Low",5,0)))+IF(S108="High",20,IF(S108="Medium",10,IF(S108="Low",5,0)))</x:f>
        <x:v>45</x:v>
      </x:c>
      <x:c r="AF108" s="12">
        <x:f>ROUND(H108*0.30+J108*0.25+K108*0.20+(100-AE108)*0.10+(100-(V108*20))*0.15,0)</x:f>
        <x:v>69</x:v>
      </x:c>
      <x:c r="AG108" s="13" t="str">
        <x:f>IF(AF108&gt;=80,"Batch 1",IF(AF108&gt;=70,"Batch 2",IF(AF108&gt;=60,"Batch 3","Backlog")))</x:f>
        <x:v>Batch 3</x:v>
      </x:c>
      <x:c r="AH108" t="inlineStr">
        <x:is>
          <x:t xml:space="preserve"/>
        </x:is>
      </x:c>
    </x:row>
    <x:row r="109">
      <x:c r="A109" s="5" t="inlineStr">
        <x:is>
          <x:t xml:space="preserve">GPO-LEA-14</x:t>
        </x:is>
      </x:c>
      <x:c r="B109" s="5" t="n">
        <x:v>105</x:v>
      </x:c>
      <x:c r="C109" s="5" t="inlineStr">
        <x:is>
          <x:t xml:space="preserve">Learning &amp; Tutoring</x:t>
        </x:is>
      </x:c>
      <x:c r="D109" s="5" t="inlineStr">
        <x:is>
          <x:t xml:space="preserve">Grow</x:t>
        </x:is>
      </x:c>
      <x:c r="E109" s="5" t="inlineStr">
        <x:is>
          <x:t xml:space="preserve">Expansion 150</x:t>
        </x:is>
      </x:c>
      <x:c r="F109" s="5" t="n">
        <x:v>14</x:v>
      </x:c>
      <x:c r="G109" s="5" t="inlineStr">
        <x:is>
          <x:t xml:space="preserve">Translate complex field jargon into plain English without losing accuracy.</x:t>
        </x:is>
      </x:c>
      <x:c r="H109" s="6" t="n">
        <x:v>58</x:v>
      </x:c>
      <x:c r="I109" s="6" t="n">
        <x:v>58</x:v>
      </x:c>
      <x:c r="J109" s="7" t="n">
        <x:v>80</x:v>
      </x:c>
      <x:c r="K109" s="7" t="n">
        <x:v>68</x:v>
      </x:c>
      <x:c r="L109" s="8" t="inlineStr">
        <x:is>
          <x:t xml:space="preserve">UNTESTED</x:t>
        </x:is>
      </x:c>
      <x:c r="M109" s="9" t="inlineStr">
        <x:is>
          <x:t xml:space="preserve">UNTESTED</x:t>
        </x:is>
      </x:c>
      <x:c r="N109" s="5" t="inlineStr">
        <x:is>
          <x:t xml:space="preserve">adaptive tutoring; curriculum planning; quiz generation; context retention</x:t>
        </x:is>
      </x:c>
      <x:c r="O109" s="5" t="inlineStr">
        <x:is>
          <x:t xml:space="preserve">Low</x:t>
        </x:is>
      </x:c>
      <x:c r="P109" s="5" t="inlineStr">
        <x:is>
          <x:t xml:space="preserve">High</x:t>
        </x:is>
      </x:c>
      <x:c r="Q109" s="5" t="inlineStr">
        <x:is>
          <x:t xml:space="preserve">Low</x:t>
        </x:is>
      </x:c>
      <x:c r="R109" s="5" t="inlineStr">
        <x:is>
          <x:t xml:space="preserve">Low</x:t>
        </x:is>
      </x:c>
      <x:c r="S109" s="5" t="inlineStr">
        <x:is>
          <x:t xml:space="preserve">Low</x:t>
        </x:is>
      </x:c>
      <x:c r="T109" s="5" t="inlineStr">
        <x:is>
          <x:t xml:space="preserve">ChatGPT primary</x:t>
        </x:is>
      </x:c>
      <x:c r="U109" s="5" t="inlineStr">
        <x:is>
          <x:t xml:space="preserve">Easy</x:t>
        </x:is>
      </x:c>
      <x:c r="V109" s="10" t="n">
        <x:v>1</x:v>
      </x:c>
      <x:c r="W109" s="5" t="inlineStr">
        <x:is>
          <x:t xml:space="preserve">Interactive tutoring session + quality review</x:t>
        </x:is>
      </x:c>
      <x:c r="X109" s="5" t="inlineStr">
        <x:is>
          <x:t xml:space="preserve">lesson / plan / quiz / explanation</x:t>
        </x:is>
      </x:c>
      <x:c r="Y109" s="5" t="inlineStr">
        <x:is>
          <x:t xml:space="preserve">Teaching is accurate, adaptive, and improves understanding rather than over-answering.</x:t>
        </x:is>
      </x:c>
      <x:c r="Z109" s="5" t="inlineStr">
        <x:is>
          <x:t xml:space="preserve">Wrong explanations, over-helping, no adaptation, or generic curriculum.</x:t>
        </x:is>
      </x:c>
      <x:c r="AA109" s="5" t="inlineStr">
        <x:is>
          <x:t xml:space="preserve">tutor mode / memory / scaffolding logic</x:t>
        </x:is>
      </x:c>
      <x:c r="AB109" s="5" t="inlineStr">
        <x:is>
          <x:t xml:space="preserve"/>
        </x:is>
      </x:c>
      <x:c r="AC109" s="5" t="inlineStr">
        <x:is>
          <x:t xml:space="preserve">OpenAI practical guidance includes tutoring; HEPI 2025 says 88% of students use GenAI for assessments, often to explain concepts and summarize articles.</x:t>
        </x:is>
      </x:c>
      <x:c r="AD109" s="5" t="inlineStr">
        <x:is>
          <x:t xml:space="preserve">OpenAI How People Use ChatGPT paper; HEPI Student Generative AI Survey 2025; Brookings 2026 tutoring article</x:t>
        </x:is>
      </x:c>
      <x:c r="AE109" s="11">
        <x:f>IF(O109="High",20,IF(O109="Medium",10,IF(O109="Low",5,0)))+IF(P109="High",20,IF(P109="Medium",10,IF(P109="Low",5,0)))+IF(Q109="High",20,IF(Q109="Medium",10,IF(Q109="Low",5,0)))+IF(R109="High",20,IF(R109="Medium",10,IF(R109="Low",5,0)))+IF(S109="High",20,IF(S109="Medium",10,IF(S109="Low",5,0)))</x:f>
        <x:v>40</x:v>
      </x:c>
      <x:c r="AF109" s="12">
        <x:f>ROUND(H109*0.30+J109*0.25+K109*0.20+(100-AE109)*0.10+(100-(V109*20))*0.15,0)</x:f>
        <x:v>69</x:v>
      </x:c>
      <x:c r="AG109" s="13" t="str">
        <x:f>IF(AF109&gt;=80,"Batch 1",IF(AF109&gt;=70,"Batch 2",IF(AF109&gt;=60,"Batch 3","Backlog")))</x:f>
        <x:v>Batch 3</x:v>
      </x:c>
      <x:c r="AH109" t="inlineStr">
        <x:is>
          <x:t xml:space="preserve"/>
        </x:is>
      </x:c>
    </x:row>
    <x:row r="110">
      <x:c r="A110" s="5" t="inlineStr">
        <x:is>
          <x:t xml:space="preserve">GPO-RES-14</x:t>
        </x:is>
      </x:c>
      <x:c r="B110" s="5" t="n">
        <x:v>106</x:v>
      </x:c>
      <x:c r="C110" s="5" t="inlineStr">
        <x:is>
          <x:t xml:space="preserve">Research &amp; Analysis</x:t>
        </x:is>
      </x:c>
      <x:c r="D110" s="5" t="inlineStr">
        <x:is>
          <x:t xml:space="preserve">Think</x:t>
        </x:is>
      </x:c>
      <x:c r="E110" s="5" t="inlineStr">
        <x:is>
          <x:t xml:space="preserve">Expansion 150</x:t>
        </x:is>
      </x:c>
      <x:c r="F110" s="5" t="n">
        <x:v>14</x:v>
      </x:c>
      <x:c r="G110" s="5" t="inlineStr">
        <x:is>
          <x:t xml:space="preserve">Read this technical/legal/policy material and tell me what matters operationally.</x:t>
        </x:is>
      </x:c>
      <x:c r="H110" s="6" t="n">
        <x:v>59</x:v>
      </x:c>
      <x:c r="I110" s="6" t="n">
        <x:v>59</x:v>
      </x:c>
      <x:c r="J110" s="7" t="n">
        <x:v>78</x:v>
      </x:c>
      <x:c r="K110" s="7" t="n">
        <x:v>68</x:v>
      </x:c>
      <x:c r="L110" s="8" t="inlineStr">
        <x:is>
          <x:t xml:space="preserve">UNTESTED</x:t>
        </x:is>
      </x:c>
      <x:c r="M110" s="9" t="inlineStr">
        <x:is>
          <x:t xml:space="preserve">UNTESTED</x:t>
        </x:is>
      </x:c>
      <x:c r="N110" s="5" t="inlineStr">
        <x:is>
          <x:t xml:space="preserve">web research; synthesis; citation discipline; decision framing</x:t>
        </x:is>
      </x:c>
      <x:c r="O110" s="5" t="inlineStr">
        <x:is>
          <x:t xml:space="preserve">High</x:t>
        </x:is>
      </x:c>
      <x:c r="P110" s="5" t="inlineStr">
        <x:is>
          <x:t xml:space="preserve">Medium</x:t>
        </x:is>
      </x:c>
      <x:c r="Q110" s="5" t="inlineStr">
        <x:is>
          <x:t xml:space="preserve">Medium</x:t>
        </x:is>
      </x:c>
      <x:c r="R110" s="5" t="inlineStr">
        <x:is>
          <x:t xml:space="preserve">Medium</x:t>
        </x:is>
      </x:c>
      <x:c r="S110" s="5" t="inlineStr">
        <x:is>
          <x:t xml:space="preserve">Low</x:t>
        </x:is>
      </x:c>
      <x:c r="T110" s="5" t="inlineStr">
        <x:is>
          <x:t xml:space="preserve">ChatGPT with web; Claude for synthesis</x:t>
        </x:is>
      </x:c>
      <x:c r="U110" s="5" t="inlineStr">
        <x:is>
          <x:t xml:space="preserve">Easy</x:t>
        </x:is>
      </x:c>
      <x:c r="V110" s="10" t="n">
        <x:v>1</x:v>
      </x:c>
      <x:c r="W110" s="5" t="inlineStr">
        <x:is>
          <x:t xml:space="preserve">Live research + source validation + recommendation review</x:t>
        </x:is>
      </x:c>
      <x:c r="X110" s="5" t="inlineStr">
        <x:is>
          <x:t xml:space="preserve">brief / comparison / decision memo / risk analysis</x:t>
        </x:is>
      </x:c>
      <x:c r="Y110" s="5" t="inlineStr">
        <x:is>
          <x:t xml:space="preserve">Accurate synthesis with evidence, tradeoffs, and a concrete recommendation.</x:t>
        </x:is>
      </x:c>
      <x:c r="Z110" s="5" t="inlineStr">
        <x:is>
          <x:t xml:space="preserve">Stale facts, no citations, weak reasoning, or surface-level synthesis.</x:t>
        </x:is>
      </x:c>
      <x:c r="AA110" s="5" t="inlineStr">
        <x:is>
          <x:t xml:space="preserve">web integration / citation enforcement / analysis rubric</x:t>
        </x:is>
      </x:c>
      <x:c r="AB110" s="5" t="inlineStr">
        <x:is>
          <x:t xml:space="preserve"/>
        </x:is>
      </x:c>
      <x:c r="AC110" s="5" t="inlineStr">
        <x:is>
          <x:t xml:space="preserve">OpenAI usage paper: Seeking Information is in top 3 categories; work/advice/search are common across Deloitte and OpenAI.</x:t>
        </x:is>
      </x:c>
      <x:c r="AD110" s="5" t="inlineStr">
        <x:is>
          <x:t xml:space="preserve">OpenAI How People Use ChatGPT paper; Deloitte Connected Consumer 2025</x:t>
        </x:is>
      </x:c>
      <x:c r="AE110" s="11">
        <x:f>IF(O110="High",20,IF(O110="Medium",10,IF(O110="Low",5,0)))+IF(P110="High",20,IF(P110="Medium",10,IF(P110="Low",5,0)))+IF(Q110="High",20,IF(Q110="Medium",10,IF(Q110="Low",5,0)))+IF(R110="High",20,IF(R110="Medium",10,IF(R110="Low",5,0)))+IF(S110="High",20,IF(S110="Medium",10,IF(S110="Low",5,0)))</x:f>
        <x:v>55</x:v>
      </x:c>
      <x:c r="AF110" s="12">
        <x:f>ROUND(H110*0.30+J110*0.25+K110*0.20+(100-AE110)*0.10+(100-(V110*20))*0.15,0)</x:f>
        <x:v>67</x:v>
      </x:c>
      <x:c r="AG110" s="13" t="str">
        <x:f>IF(AF110&gt;=80,"Batch 1",IF(AF110&gt;=70,"Batch 2",IF(AF110&gt;=60,"Batch 3","Backlog")))</x:f>
        <x:v>Batch 3</x:v>
      </x:c>
      <x:c r="AH110" t="inlineStr">
        <x:is>
          <x:t xml:space="preserve"/>
        </x:is>
      </x:c>
    </x:row>
    <x:row r="111">
      <x:c r="A111" s="5" t="inlineStr">
        <x:is>
          <x:t xml:space="preserve">GPO-SHO-10</x:t>
        </x:is>
      </x:c>
      <x:c r="B111" s="5" t="n">
        <x:v>107</x:v>
      </x:c>
      <x:c r="C111" s="5" t="inlineStr">
        <x:is>
          <x:t xml:space="preserve">Shopping &amp; Buying Advisor</x:t>
        </x:is>
      </x:c>
      <x:c r="D111" s="5" t="inlineStr">
        <x:is>
          <x:t xml:space="preserve">Buy</x:t>
        </x:is>
      </x:c>
      <x:c r="E111" s="5" t="inlineStr">
        <x:is>
          <x:t xml:space="preserve">Core 150</x:t>
        </x:is>
      </x:c>
      <x:c r="F111" s="5" t="n">
        <x:v>10</x:v>
      </x:c>
      <x:c r="G111" s="5" t="inlineStr">
        <x:is>
          <x:t xml:space="preserve">Create a full shopping list for this setup.</x:t>
        </x:is>
      </x:c>
      <x:c r="H111" s="6" t="n">
        <x:v>59</x:v>
      </x:c>
      <x:c r="I111" s="6" t="n">
        <x:v>59</x:v>
      </x:c>
      <x:c r="J111" s="7" t="n">
        <x:v>78</x:v>
      </x:c>
      <x:c r="K111" s="7" t="n">
        <x:v>68</x:v>
      </x:c>
      <x:c r="L111" s="8" t="inlineStr">
        <x:is>
          <x:t xml:space="preserve">UNTESTED</x:t>
        </x:is>
      </x:c>
      <x:c r="M111" s="9" t="inlineStr">
        <x:is>
          <x:t xml:space="preserve">UNTESTED</x:t>
        </x:is>
      </x:c>
      <x:c r="N111" s="5" t="inlineStr">
        <x:is>
          <x:t xml:space="preserve">web/product research; comparison; price-value reasoning; shortlist generation</x:t>
        </x:is>
      </x:c>
      <x:c r="O111" s="5" t="inlineStr">
        <x:is>
          <x:t xml:space="preserve">High</x:t>
        </x:is>
      </x:c>
      <x:c r="P111" s="5" t="inlineStr">
        <x:is>
          <x:t xml:space="preserve">Medium</x:t>
        </x:is>
      </x:c>
      <x:c r="Q111" s="5" t="inlineStr">
        <x:is>
          <x:t xml:space="preserve">Medium</x:t>
        </x:is>
      </x:c>
      <x:c r="R111" s="5" t="inlineStr">
        <x:is>
          <x:t xml:space="preserve">Low</x:t>
        </x:is>
      </x:c>
      <x:c r="S111" s="5" t="inlineStr">
        <x:is>
          <x:t xml:space="preserve">Low</x:t>
        </x:is>
      </x:c>
      <x:c r="T111" s="5" t="inlineStr">
        <x:is>
          <x:t xml:space="preserve">ChatGPT with web</x:t>
        </x:is>
      </x:c>
      <x:c r="U111" s="5" t="inlineStr">
        <x:is>
          <x:t xml:space="preserve">Easy</x:t>
        </x:is>
      </x:c>
      <x:c r="V111" s="10" t="n">
        <x:v>1</x:v>
      </x:c>
      <x:c r="W111" s="5" t="inlineStr">
        <x:is>
          <x:t xml:space="preserve">Live shopping query + recommendation validation</x:t>
        </x:is>
      </x:c>
      <x:c r="X111" s="5" t="inlineStr">
        <x:is>
          <x:t xml:space="preserve">shortlist / recommendation / comparison / cart plan</x:t>
        </x:is>
      </x:c>
      <x:c r="Y111" s="5" t="inlineStr">
        <x:is>
          <x:t xml:space="preserve">Recommendation fits constraints and explains tradeoffs clearly.</x:t>
        </x:is>
      </x:c>
      <x:c r="Z111" s="5" t="inlineStr">
        <x:is>
          <x:t xml:space="preserve">Outdated products, poor fit, missed constraints, or shallow comparison.</x:t>
        </x:is>
      </x:c>
      <x:c r="AA111" s="5" t="inlineStr">
        <x:is>
          <x:t xml:space="preserve">web/product retrieval / comparison template / user preference memory</x:t>
        </x:is>
      </x:c>
      <x:c r="AB111" s="5" t="inlineStr">
        <x:is>
          <x:t xml:space="preserve"/>
        </x:is>
      </x:c>
      <x:c r="AC111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11" s="5" t="inlineStr">
        <x:is>
          <x:t xml:space="preserve">Deloitte Connected Consumer 2025; Salesforce Connected Shopper 2025; IAB 2025 shopping study</x:t>
        </x:is>
      </x:c>
      <x:c r="AE111" s="11">
        <x:f>IF(O111="High",20,IF(O111="Medium",10,IF(O111="Low",5,0)))+IF(P111="High",20,IF(P111="Medium",10,IF(P111="Low",5,0)))+IF(Q111="High",20,IF(Q111="Medium",10,IF(Q111="Low",5,0)))+IF(R111="High",20,IF(R111="Medium",10,IF(R111="Low",5,0)))+IF(S111="High",20,IF(S111="Medium",10,IF(S111="Low",5,0)))</x:f>
        <x:v>50</x:v>
      </x:c>
      <x:c r="AF111" s="12">
        <x:f>ROUND(H111*0.30+J111*0.25+K111*0.20+(100-AE111)*0.10+(100-(V111*20))*0.15,0)</x:f>
        <x:v>68</x:v>
      </x:c>
      <x:c r="AG111" s="13" t="str">
        <x:f>IF(AF111&gt;=80,"Batch 1",IF(AF111&gt;=70,"Batch 2",IF(AF111&gt;=60,"Batch 3","Backlog")))</x:f>
        <x:v>Batch 3</x:v>
      </x:c>
      <x:c r="AH111" t="inlineStr">
        <x:is>
          <x:t xml:space="preserve"/>
        </x:is>
      </x:c>
    </x:row>
    <x:row r="112">
      <x:c r="A112" s="5" t="inlineStr">
        <x:is>
          <x:t xml:space="preserve">GPO-PER-06</x:t>
        </x:is>
      </x:c>
      <x:c r="B112" s="5" t="n">
        <x:v>108</x:v>
      </x:c>
      <x:c r="C112" s="5" t="inlineStr">
        <x:is>
          <x:t xml:space="preserve">Personal Finance &amp; Investing</x:t>
        </x:is>
      </x:c>
      <x:c r="D112" s="5" t="inlineStr">
        <x:is>
          <x:t xml:space="preserve">Money</x:t>
        </x:is>
      </x:c>
      <x:c r="E112" s="5" t="inlineStr">
        <x:is>
          <x:t xml:space="preserve">Core 150</x:t>
        </x:is>
      </x:c>
      <x:c r="F112" s="5" t="n">
        <x:v>6</x:v>
      </x:c>
      <x:c r="G112" s="5" t="inlineStr">
        <x:is>
          <x:t xml:space="preserve">Compare renting versus buying for my situation with actual assumptions.</x:t>
        </x:is>
      </x:c>
      <x:c r="H112" s="6" t="n">
        <x:v>61</x:v>
      </x:c>
      <x:c r="I112" s="6" t="n">
        <x:v>61</x:v>
      </x:c>
      <x:c r="J112" s="7" t="n">
        <x:v>74</x:v>
      </x:c>
      <x:c r="K112" s="7" t="n">
        <x:v>67</x:v>
      </x:c>
      <x:c r="L112" s="8" t="inlineStr">
        <x:is>
          <x:t xml:space="preserve">UNTESTED</x:t>
        </x:is>
      </x:c>
      <x:c r="M112" s="9" t="inlineStr">
        <x:is>
          <x:t xml:space="preserve">UNTESTED</x:t>
        </x:is>
      </x:c>
      <x:c r="N112" s="5" t="inlineStr">
        <x:is>
          <x:t xml:space="preserve">scenario modeling; budgeting; portfolio reasoning; decision framing</x:t>
        </x:is>
      </x:c>
      <x:c r="O112" s="5" t="inlineStr">
        <x:is>
          <x:t xml:space="preserve">Medium</x:t>
        </x:is>
      </x:c>
      <x:c r="P112" s="5" t="inlineStr">
        <x:is>
          <x:t xml:space="preserve">High</x:t>
        </x:is>
      </x:c>
      <x:c r="Q112" s="5" t="inlineStr">
        <x:is>
          <x:t xml:space="preserve">Medium</x:t>
        </x:is>
      </x:c>
      <x:c r="R112" s="5" t="inlineStr">
        <x:is>
          <x:t xml:space="preserve">Low</x:t>
        </x:is>
      </x:c>
      <x:c r="S112" s="5" t="inlineStr">
        <x:is>
          <x:t xml:space="preserve">Medium</x:t>
        </x:is>
      </x:c>
      <x:c r="T112" s="5" t="inlineStr">
        <x:is>
          <x:t xml:space="preserve">ChatGPT or Claude with spreadsheet support</x:t>
        </x:is>
      </x:c>
      <x:c r="U112" s="5" t="inlineStr">
        <x:is>
          <x:t xml:space="preserve">Easy</x:t>
        </x:is>
      </x:c>
      <x:c r="V112" s="10" t="n">
        <x:v>1</x:v>
      </x:c>
      <x:c r="W112" s="5" t="inlineStr">
        <x:is>
          <x:t xml:space="preserve">Scenario modeling + coherence review</x:t>
        </x:is>
      </x:c>
      <x:c r="X112" s="5" t="inlineStr">
        <x:is>
          <x:t xml:space="preserve">budget / model / plan / recommendation</x:t>
        </x:is>
      </x:c>
      <x:c r="Y112" s="5" t="inlineStr">
        <x:is>
          <x:t xml:space="preserve">Advice is numerically coherent, practical, and transparent about assumptions.</x:t>
        </x:is>
      </x:c>
      <x:c r="Z112" s="5" t="inlineStr">
        <x:is>
          <x:t xml:space="preserve">Bad math, missing assumptions, or overconfident investment guidance.</x:t>
        </x:is>
      </x:c>
      <x:c r="AA112" s="5" t="inlineStr">
        <x:is>
          <x:t xml:space="preserve">financial calculator / assumption schema / spreadsheet outputs</x:t>
        </x:is>
      </x:c>
      <x:c r="AB112" s="5" t="inlineStr">
        <x:is>
          <x:t xml:space="preserve"/>
        </x:is>
      </x:c>
      <x:c r="AC112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12" s="5" t="inlineStr">
        <x:is>
          <x:t xml:space="preserve">FNBO Financial Wellbeing Study 2025; NerdWallet/Harris Poll 2026; PlanAdviser 2026</x:t>
        </x:is>
      </x:c>
      <x:c r="AE112" s="11">
        <x:f>IF(O112="High",20,IF(O112="Medium",10,IF(O112="Low",5,0)))+IF(P112="High",20,IF(P112="Medium",10,IF(P112="Low",5,0)))+IF(Q112="High",20,IF(Q112="Medium",10,IF(Q112="Low",5,0)))+IF(R112="High",20,IF(R112="Medium",10,IF(R112="Low",5,0)))+IF(S112="High",20,IF(S112="Medium",10,IF(S112="Low",5,0)))</x:f>
        <x:v>55</x:v>
      </x:c>
      <x:c r="AF112" s="12">
        <x:f>ROUND(H112*0.30+J112*0.25+K112*0.20+(100-AE112)*0.10+(100-(V112*20))*0.15,0)</x:f>
        <x:v>67</x:v>
      </x:c>
      <x:c r="AG112" s="13" t="str">
        <x:f>IF(AF112&gt;=80,"Batch 1",IF(AF112&gt;=70,"Batch 2",IF(AF112&gt;=60,"Batch 3","Backlog")))</x:f>
        <x:v>Batch 3</x:v>
      </x:c>
      <x:c r="AH112" t="inlineStr">
        <x:is>
          <x:t xml:space="preserve"/>
        </x:is>
      </x:c>
    </x:row>
    <x:row r="113">
      <x:c r="A113" s="5" t="inlineStr">
        <x:is>
          <x:t xml:space="preserve">GPO-SCH-12</x:t>
        </x:is>
      </x:c>
      <x:c r="B113" s="5" t="n">
        <x:v>109</x:v>
      </x:c>
      <x:c r="C113" s="5" t="inlineStr">
        <x:is>
          <x:t xml:space="preserve">Scheduling &amp; Life Operations</x:t>
        </x:is>
      </x:c>
      <x:c r="D113" s="5" t="inlineStr">
        <x:is>
          <x:t xml:space="preserve">Operate</x:t>
        </x:is>
      </x:c>
      <x:c r="E113" s="5" t="inlineStr">
        <x:is>
          <x:t xml:space="preserve">Expansion 150</x:t>
        </x:is>
      </x:c>
      <x:c r="F113" s="5" t="n">
        <x:v>12</x:v>
      </x:c>
      <x:c r="G113" s="5" t="inlineStr">
        <x:is>
          <x:t xml:space="preserve">Turn my goals into an execution plan with checkpoints and recovery plans.</x:t>
        </x:is>
      </x:c>
      <x:c r="H113" s="6" t="n">
        <x:v>59</x:v>
      </x:c>
      <x:c r="I113" s="6" t="n">
        <x:v>59</x:v>
      </x:c>
      <x:c r="J113" s="7" t="n">
        <x:v>77</x:v>
      </x:c>
      <x:c r="K113" s="7" t="n">
        <x:v>67</x:v>
      </x:c>
      <x:c r="L113" s="8" t="inlineStr">
        <x:is>
          <x:t xml:space="preserve">UNTESTED</x:t>
        </x:is>
      </x:c>
      <x:c r="M113" s="9" t="inlineStr">
        <x:is>
          <x:t xml:space="preserve">UNTESTED</x:t>
        </x:is>
      </x:c>
      <x:c r="N113" s="5" t="inlineStr">
        <x:is>
          <x:t xml:space="preserve">task planning; prioritization; calendar reasoning; personal constraints handling</x:t>
        </x:is>
      </x:c>
      <x:c r="O113" s="5" t="inlineStr">
        <x:is>
          <x:t xml:space="preserve">Low</x:t>
        </x:is>
      </x:c>
      <x:c r="P113" s="5" t="inlineStr">
        <x:is>
          <x:t xml:space="preserve">High</x:t>
        </x:is>
      </x:c>
      <x:c r="Q113" s="5" t="inlineStr">
        <x:is>
          <x:t xml:space="preserve">Medium</x:t>
        </x:is>
      </x:c>
      <x:c r="R113" s="5" t="inlineStr">
        <x:is>
          <x:t xml:space="preserve">Low</x:t>
        </x:is>
      </x:c>
      <x:c r="S113" s="5" t="inlineStr">
        <x:is>
          <x:t xml:space="preserve">Low</x:t>
        </x:is>
      </x:c>
      <x:c r="T113" s="5" t="inlineStr">
        <x:is>
          <x:t xml:space="preserve">ChatGPT primary; calendar integrations later</x:t>
        </x:is>
      </x:c>
      <x:c r="U113" s="5" t="inlineStr">
        <x:is>
          <x:t xml:space="preserve">Easy</x:t>
        </x:is>
      </x:c>
      <x:c r="V113" s="10" t="n">
        <x:v>1</x:v>
      </x:c>
      <x:c r="W113" s="5" t="inlineStr">
        <x:is>
          <x:t xml:space="preserve">Scenario-based planning + operator utility review</x:t>
        </x:is>
      </x:c>
      <x:c r="X113" s="5" t="inlineStr">
        <x:is>
          <x:t xml:space="preserve">schedule / checklist / operating plan</x:t>
        </x:is>
      </x:c>
      <x:c r="Y113" s="5" t="inlineStr">
        <x:is>
          <x:t xml:space="preserve">Plan is realistic, prioritized, and executable under stated constraints.</x:t>
        </x:is>
      </x:c>
      <x:c r="Z113" s="5" t="inlineStr">
        <x:is>
          <x:t xml:space="preserve">Overpacked schedule, ignored constraints, or vague next steps.</x:t>
        </x:is>
      </x:c>
      <x:c r="AA113" s="5" t="inlineStr">
        <x:is>
          <x:t xml:space="preserve">planner engine / memory / calendar-tool integration</x:t>
        </x:is>
      </x:c>
      <x:c r="AB113" s="5" t="inlineStr">
        <x:is>
          <x:t xml:space="preserve"/>
        </x:is>
      </x:c>
      <x:c r="AC113" s="5" t="inlineStr">
        <x:is>
          <x:t xml:space="preserve">Menlo consumer AI: 18% use AI to manage to-do lists and 15% to organize notes; Zao-Sanders ranked 'Organise my life' #2.</x:t>
        </x:is>
      </x:c>
      <x:c r="AD113" s="5" t="inlineStr">
        <x:is>
          <x:t xml:space="preserve">Menlo State of Consumer AI 2025; Zao-Sanders Top-100 GenAI Use Cases 2025</x:t>
        </x:is>
      </x:c>
      <x:c r="AE113" s="11">
        <x:f>IF(O113="High",20,IF(O113="Medium",10,IF(O113="Low",5,0)))+IF(P113="High",20,IF(P113="Medium",10,IF(P113="Low",5,0)))+IF(Q113="High",20,IF(Q113="Medium",10,IF(Q113="Low",5,0)))+IF(R113="High",20,IF(R113="Medium",10,IF(R113="Low",5,0)))+IF(S113="High",20,IF(S113="Medium",10,IF(S113="Low",5,0)))</x:f>
        <x:v>45</x:v>
      </x:c>
      <x:c r="AF113" s="12">
        <x:f>ROUND(H113*0.30+J113*0.25+K113*0.20+(100-AE113)*0.10+(100-(V113*20))*0.15,0)</x:f>
        <x:v>68</x:v>
      </x:c>
      <x:c r="AG113" s="13" t="str">
        <x:f>IF(AF113&gt;=80,"Batch 1",IF(AF113&gt;=70,"Batch 2",IF(AF113&gt;=60,"Batch 3","Backlog")))</x:f>
        <x:v>Batch 3</x:v>
      </x:c>
      <x:c r="AH113" t="inlineStr">
        <x:is>
          <x:t xml:space="preserve"/>
        </x:is>
      </x:c>
    </x:row>
    <x:row r="114">
      <x:c r="A114" s="5" t="inlineStr">
        <x:is>
          <x:t xml:space="preserve">GPO-TRA-09</x:t>
        </x:is>
      </x:c>
      <x:c r="B114" s="5" t="n">
        <x:v>110</x:v>
      </x:c>
      <x:c r="C114" s="5" t="inlineStr">
        <x:is>
          <x:t xml:space="preserve">Travel &amp; Relocation Planner</x:t>
        </x:is>
      </x:c>
      <x:c r="D114" s="5" t="inlineStr">
        <x:is>
          <x:t xml:space="preserve">Move</x:t>
        </x:is>
      </x:c>
      <x:c r="E114" s="5" t="inlineStr">
        <x:is>
          <x:t xml:space="preserve">Core 150</x:t>
        </x:is>
      </x:c>
      <x:c r="F114" s="5" t="n">
        <x:v>9</x:v>
      </x:c>
      <x:c r="G114" s="5" t="inlineStr">
        <x:is>
          <x:t xml:space="preserve">Tell me what mistakes people make when planning {trip_type} and how to avoid them.</x:t>
        </x:is>
      </x:c>
      <x:c r="H114" s="6" t="n">
        <x:v>59</x:v>
      </x:c>
      <x:c r="I114" s="6" t="n">
        <x:v>59</x:v>
      </x:c>
      <x:c r="J114" s="7" t="n">
        <x:v>77</x:v>
      </x:c>
      <x:c r="K114" s="7" t="n">
        <x:v>67</x:v>
      </x:c>
      <x:c r="L114" s="8" t="inlineStr">
        <x:is>
          <x:t xml:space="preserve">UNTESTED</x:t>
        </x:is>
      </x:c>
      <x:c r="M114" s="9" t="inlineStr">
        <x:is>
          <x:t xml:space="preserve">UNTESTED</x:t>
        </x:is>
      </x:c>
      <x:c r="N114" s="5" t="inlineStr">
        <x:is>
          <x:t xml:space="preserve">travel research; itinerary planning; logistics reasoning; contingency planning</x:t>
        </x:is>
      </x:c>
      <x:c r="O114" s="5" t="inlineStr">
        <x:is>
          <x:t xml:space="preserve">High</x:t>
        </x:is>
      </x:c>
      <x:c r="P114" s="5" t="inlineStr">
        <x:is>
          <x:t xml:space="preserve">Medium</x:t>
        </x:is>
      </x:c>
      <x:c r="Q114" s="5" t="inlineStr">
        <x:is>
          <x:t xml:space="preserve">Medium</x:t>
        </x:is>
      </x:c>
      <x:c r="R114" s="5" t="inlineStr">
        <x:is>
          <x:t xml:space="preserve">Low</x:t>
        </x:is>
      </x:c>
      <x:c r="S114" s="5" t="inlineStr">
        <x:is>
          <x:t xml:space="preserve">Low</x:t>
        </x:is>
      </x:c>
      <x:c r="T114" s="5" t="inlineStr">
        <x:is>
          <x:t xml:space="preserve">ChatGPT with web; maps/calendar later</x:t>
        </x:is>
      </x:c>
      <x:c r="U114" s="5" t="inlineStr">
        <x:is>
          <x:t xml:space="preserve">Easy</x:t>
        </x:is>
      </x:c>
      <x:c r="V114" s="10" t="n">
        <x:v>1</x:v>
      </x:c>
      <x:c r="W114" s="5" t="inlineStr">
        <x:is>
          <x:t xml:space="preserve">Live trip planning + feasibility review</x:t>
        </x:is>
      </x:c>
      <x:c r="X114" s="5" t="inlineStr">
        <x:is>
          <x:t xml:space="preserve">itinerary / relocation plan / checklist</x:t>
        </x:is>
      </x:c>
      <x:c r="Y114" s="5" t="inlineStr">
        <x:is>
          <x:t xml:space="preserve">Plan is current, geographically sensible, and tuned to budget/constraints.</x:t>
        </x:is>
      </x:c>
      <x:c r="Z114" s="5" t="inlineStr">
        <x:is>
          <x:t xml:space="preserve">Bad logistics, stale info, wrong timing, or generic travel advice.</x:t>
        </x:is>
      </x:c>
      <x:c r="AA114" s="5" t="inlineStr">
        <x:is>
          <x:t xml:space="preserve">travel templates / web + mapping integration / logistics engine</x:t>
        </x:is>
      </x:c>
      <x:c r="AB114" s="5" t="inlineStr">
        <x:is>
          <x:t xml:space="preserve"/>
        </x:is>
      </x:c>
      <x:c r="AC114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14" s="5" t="inlineStr">
        <x:is>
          <x:t xml:space="preserve">Deloitte Connected Consumer 2025; Adobe travel planning 2025</x:t>
        </x:is>
      </x:c>
      <x:c r="AE114" s="11">
        <x:f>IF(O114="High",20,IF(O114="Medium",10,IF(O114="Low",5,0)))+IF(P114="High",20,IF(P114="Medium",10,IF(P114="Low",5,0)))+IF(Q114="High",20,IF(Q114="Medium",10,IF(Q114="Low",5,0)))+IF(R114="High",20,IF(R114="Medium",10,IF(R114="Low",5,0)))+IF(S114="High",20,IF(S114="Medium",10,IF(S114="Low",5,0)))</x:f>
        <x:v>50</x:v>
      </x:c>
      <x:c r="AF114" s="12">
        <x:f>ROUND(H114*0.30+J114*0.25+K114*0.20+(100-AE114)*0.10+(100-(V114*20))*0.15,0)</x:f>
        <x:v>67</x:v>
      </x:c>
      <x:c r="AG114" s="13" t="str">
        <x:f>IF(AF114&gt;=80,"Batch 1",IF(AF114&gt;=70,"Batch 2",IF(AF114&gt;=60,"Batch 3","Backlog")))</x:f>
        <x:v>Batch 3</x:v>
      </x:c>
      <x:c r="AH114" t="inlineStr">
        <x:is>
          <x:t xml:space="preserve"/>
        </x:is>
      </x:c>
    </x:row>
    <x:row r="115">
      <x:c r="A115" s="5" t="inlineStr">
        <x:is>
          <x:t xml:space="preserve">GPO-HEA-03</x:t>
        </x:is>
      </x:c>
      <x:c r="B115" s="5" t="n">
        <x:v>111</x:v>
      </x:c>
      <x:c r="C115" s="5" t="inlineStr">
        <x:is>
          <x:t xml:space="preserve">Health &amp; Wellness Coach</x:t>
        </x:is>
      </x:c>
      <x:c r="D115" s="5" t="inlineStr">
        <x:is>
          <x:t xml:space="preserve">Care</x:t>
        </x:is>
      </x:c>
      <x:c r="E115" s="5" t="inlineStr">
        <x:is>
          <x:t xml:space="preserve">Core 150</x:t>
        </x:is>
      </x:c>
      <x:c r="F115" s="5" t="n">
        <x:v>3</x:v>
      </x:c>
      <x:c r="G115" s="5" t="inlineStr">
        <x:is>
          <x:t xml:space="preserve">Build a workout routine for my main goal that I can actually sustain.</x:t>
        </x:is>
      </x:c>
      <x:c r="H115" s="6" t="n">
        <x:v>71</x:v>
      </x:c>
      <x:c r="I115" s="6" t="n">
        <x:v>71</x:v>
      </x:c>
      <x:c r="J115" s="7" t="n">
        <x:v>60</x:v>
      </x:c>
      <x:c r="K115" s="7" t="n">
        <x:v>66</x:v>
      </x:c>
      <x:c r="L115" s="8" t="inlineStr">
        <x:is>
          <x:t xml:space="preserve">UNTESTED</x:t>
        </x:is>
      </x:c>
      <x:c r="M115" s="9" t="inlineStr">
        <x:is>
          <x:t xml:space="preserve">UNTESTED</x:t>
        </x:is>
      </x:c>
      <x:c r="N115" s="5" t="inlineStr">
        <x:is>
          <x:t xml:space="preserve">health explanation; risk framing; behavior coaching; careful disclaimer handling</x:t>
        </x:is>
      </x:c>
      <x:c r="O115" s="5" t="inlineStr">
        <x:is>
          <x:t xml:space="preserve">Medium</x:t>
        </x:is>
      </x:c>
      <x:c r="P115" s="5" t="inlineStr">
        <x:is>
          <x:t xml:space="preserve">High</x:t>
        </x:is>
      </x:c>
      <x:c r="Q115" s="5" t="inlineStr">
        <x:is>
          <x:t xml:space="preserve">Low</x:t>
        </x:is>
      </x:c>
      <x:c r="R115" s="5" t="inlineStr">
        <x:is>
          <x:t xml:space="preserve">Low</x:t>
        </x:is>
      </x:c>
      <x:c r="S115" s="5" t="inlineStr">
        <x:is>
          <x:t xml:space="preserve">Medium</x:t>
        </x:is>
      </x:c>
      <x:c r="T115" s="5" t="inlineStr">
        <x:is>
          <x:t xml:space="preserve">ChatGPT primary with careful guardrails</x:t>
        </x:is>
      </x:c>
      <x:c r="U115" s="5" t="inlineStr">
        <x:is>
          <x:t xml:space="preserve">Medium</x:t>
        </x:is>
      </x:c>
      <x:c r="V115" s="10" t="n">
        <x:v>2</x:v>
      </x:c>
      <x:c r="W115" s="5" t="inlineStr">
        <x:is>
          <x:t xml:space="preserve">Scenario prompts + safety review + usefulness review</x:t>
        </x:is>
      </x:c>
      <x:c r="X115" s="5" t="inlineStr">
        <x:is>
          <x:t xml:space="preserve">plan / explanation / checklist / prep brief</x:t>
        </x:is>
      </x:c>
      <x:c r="Y115" s="5" t="inlineStr">
        <x:is>
          <x:t xml:space="preserve">Useful, cautious, practical guidance that stays within safe boundaries.</x:t>
        </x:is>
      </x:c>
      <x:c r="Z115" s="5" t="inlineStr">
        <x:is>
          <x:t xml:space="preserve">Overconfident medical claims, weak escalation guidance, or unsafe advice.</x:t>
        </x:is>
      </x:c>
      <x:c r="AA115" s="5" t="inlineStr">
        <x:is>
          <x:t xml:space="preserve">safety layer / health mode / evidence grounding</x:t>
        </x:is>
      </x:c>
      <x:c r="AB115" s="5" t="inlineStr">
        <x:is>
          <x:t xml:space="preserve"/>
        </x:is>
      </x:c>
      <x:c r="AC115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15" s="5" t="inlineStr">
        <x:is>
          <x:t xml:space="preserve">OpenAI Introducing GPT-5; APPC 2025 health survey; Deloitte Connected Consumer 2025</x:t>
        </x:is>
      </x:c>
      <x:c r="AE115" s="11">
        <x:f>IF(O115="High",20,IF(O115="Medium",10,IF(O115="Low",5,0)))+IF(P115="High",20,IF(P115="Medium",10,IF(P115="Low",5,0)))+IF(Q115="High",20,IF(Q115="Medium",10,IF(Q115="Low",5,0)))+IF(R115="High",20,IF(R115="Medium",10,IF(R115="Low",5,0)))+IF(S115="High",20,IF(S115="Medium",10,IF(S115="Low",5,0)))</x:f>
        <x:v>50</x:v>
      </x:c>
      <x:c r="AF115" s="12">
        <x:f>ROUND(H115*0.30+J115*0.25+K115*0.20+(100-AE115)*0.10+(100-(V115*20))*0.15,0)</x:f>
        <x:v>64</x:v>
      </x:c>
      <x:c r="AG115" s="13" t="str">
        <x:f>IF(AF115&gt;=80,"Batch 1",IF(AF115&gt;=70,"Batch 2",IF(AF115&gt;=60,"Batch 3","Backlog")))</x:f>
        <x:v>Batch 3</x:v>
      </x:c>
      <x:c r="AH115" t="inlineStr">
        <x:is>
          <x:t xml:space="preserve"/>
        </x:is>
      </x:c>
    </x:row>
    <x:row r="116">
      <x:c r="A116" s="5" t="inlineStr">
        <x:is>
          <x:t xml:space="preserve">GPO-WRI-17</x:t>
        </x:is>
      </x:c>
      <x:c r="B116" s="5" t="n">
        <x:v>112</x:v>
      </x:c>
      <x:c r="C116" s="5" t="inlineStr">
        <x:is>
          <x:t xml:space="preserve">Writing &amp; Documentation</x:t>
        </x:is>
      </x:c>
      <x:c r="D116" s="5" t="inlineStr">
        <x:is>
          <x:t xml:space="preserve">Create</x:t>
        </x:is>
      </x:c>
      <x:c r="E116" s="5" t="inlineStr">
        <x:is>
          <x:t xml:space="preserve">Expansion 150</x:t>
        </x:is>
      </x:c>
      <x:c r="F116" s="5" t="n">
        <x:v>17</x:v>
      </x:c>
      <x:c r="G116" s="5" t="inlineStr">
        <x:is>
          <x:t xml:space="preserve">Write a process document plus checklist for onboarding a new hire to the role.</x:t>
        </x:is>
      </x:c>
      <x:c r="H116" s="6" t="n">
        <x:v>56</x:v>
      </x:c>
      <x:c r="I116" s="6" t="n">
        <x:v>56</x:v>
      </x:c>
      <x:c r="J116" s="7" t="n">
        <x:v>81</x:v>
      </x:c>
      <x:c r="K116" s="7" t="n">
        <x:v>67</x:v>
      </x:c>
      <x:c r="L116" s="8" t="inlineStr">
        <x:is>
          <x:t xml:space="preserve">UNTESTED</x:t>
        </x:is>
      </x:c>
      <x:c r="M116" s="9" t="inlineStr">
        <x:is>
          <x:t xml:space="preserve">UNTESTED</x:t>
        </x:is>
      </x:c>
      <x:c r="N116" s="5" t="inlineStr">
        <x:is>
          <x:t xml:space="preserve">writing quality; summarization; style control; structured artifacts</x:t>
        </x:is>
      </x:c>
      <x:c r="O116" s="5" t="inlineStr">
        <x:is>
          <x:t xml:space="preserve">Low</x:t>
        </x:is>
      </x:c>
      <x:c r="P116" s="5" t="inlineStr">
        <x:is>
          <x:t xml:space="preserve">Medium</x:t>
        </x:is>
      </x:c>
      <x:c r="Q116" s="5" t="inlineStr">
        <x:is>
          <x:t xml:space="preserve">Low</x:t>
        </x:is>
      </x:c>
      <x:c r="R116" s="5" t="inlineStr">
        <x:is>
          <x:t xml:space="preserve">Low</x:t>
        </x:is>
      </x:c>
      <x:c r="S116" s="5" t="inlineStr">
        <x:is>
          <x:t xml:space="preserve">Low</x:t>
        </x:is>
      </x:c>
      <x:c r="T116" s="5" t="inlineStr">
        <x:is>
          <x:t xml:space="preserve">ChatGPT or Claude; human review optional</x:t>
        </x:is>
      </x:c>
      <x:c r="U116" s="5" t="inlineStr">
        <x:is>
          <x:t xml:space="preserve">Easy</x:t>
        </x:is>
      </x:c>
      <x:c r="V116" s="10" t="n">
        <x:v>1</x:v>
      </x:c>
      <x:c r="W116" s="5" t="inlineStr">
        <x:is>
          <x:t xml:space="preserve">Prompt execution + artifact quality review</x:t>
        </x:is>
      </x:c>
      <x:c r="X116" s="5" t="inlineStr">
        <x:is>
          <x:t xml:space="preserve">doc / memo / email / FAQ / summary</x:t>
        </x:is>
      </x:c>
      <x:c r="Y116" s="5" t="inlineStr">
        <x:is>
          <x:t xml:space="preserve">Output is clear, tailored, structurally sound, and immediately usable.</x:t>
        </x:is>
      </x:c>
      <x:c r="Z116" s="5" t="inlineStr">
        <x:is>
          <x:t xml:space="preserve">Generic tone, missing context, weak structure, or wrong audience level.</x:t>
        </x:is>
      </x:c>
      <x:c r="AA116" s="5" t="inlineStr">
        <x:is>
          <x:t xml:space="preserve">prompt pack / style guidance / output schema</x:t>
        </x:is>
      </x:c>
      <x:c r="AB116" s="5" t="inlineStr">
        <x:is>
          <x:t xml:space="preserve"/>
        </x:is>
      </x:c>
      <x:c r="AC116" s="5" t="inlineStr">
        <x:is>
          <x:t xml:space="preserve">OpenAI usage paper: Writing is in top 3 categories; Menlo consumer AI says 19% use AI to write emails and 18% get writing support.</x:t>
        </x:is>
      </x:c>
      <x:c r="AD116" s="5" t="inlineStr">
        <x:is>
          <x:t xml:space="preserve">OpenAI How People Use ChatGPT paper; Menlo State of Consumer AI 2025</x:t>
        </x:is>
      </x:c>
      <x:c r="AE116" s="11">
        <x:f>IF(O116="High",20,IF(O116="Medium",10,IF(O116="Low",5,0)))+IF(P116="High",20,IF(P116="Medium",10,IF(P116="Low",5,0)))+IF(Q116="High",20,IF(Q116="Medium",10,IF(Q116="Low",5,0)))+IF(R116="High",20,IF(R116="Medium",10,IF(R116="Low",5,0)))+IF(S116="High",20,IF(S116="Medium",10,IF(S116="Low",5,0)))</x:f>
        <x:v>30</x:v>
      </x:c>
      <x:c r="AF116" s="12">
        <x:f>ROUND(H116*0.30+J116*0.25+K116*0.20+(100-AE116)*0.10+(100-(V116*20))*0.15,0)</x:f>
        <x:v>69</x:v>
      </x:c>
      <x:c r="AG116" s="13" t="str">
        <x:f>IF(AF116&gt;=80,"Batch 1",IF(AF116&gt;=70,"Batch 2",IF(AF116&gt;=60,"Batch 3","Backlog")))</x:f>
        <x:v>Batch 3</x:v>
      </x:c>
      <x:c r="AH116" t="inlineStr">
        <x:is>
          <x:t xml:space="preserve"/>
        </x:is>
      </x:c>
    </x:row>
    <x:row r="117">
      <x:c r="A117" s="5" t="inlineStr">
        <x:is>
          <x:t xml:space="preserve">GPO-COD-17</x:t>
        </x:is>
      </x:c>
      <x:c r="B117" s="5" t="n">
        <x:v>113</x:v>
      </x:c>
      <x:c r="C117" s="5" t="inlineStr">
        <x:is>
          <x:t xml:space="preserve">Code &amp; Product Engineering</x:t>
        </x:is>
      </x:c>
      <x:c r="D117" s="5" t="inlineStr">
        <x:is>
          <x:t xml:space="preserve">Build</x:t>
        </x:is>
      </x:c>
      <x:c r="E117" s="5" t="inlineStr">
        <x:is>
          <x:t xml:space="preserve">Expansion 150</x:t>
        </x:is>
      </x:c>
      <x:c r="F117" s="5" t="n">
        <x:v>17</x:v>
      </x:c>
      <x:c r="G117" s="5" t="inlineStr">
        <x:is>
          <x:t xml:space="preserve">Create a privacy-first multi-tenant design for {platform} with strong isolation boundaries.</x:t>
        </x:is>
      </x:c>
      <x:c r="H117" s="6" t="n">
        <x:v>57</x:v>
      </x:c>
      <x:c r="I117" s="6" t="n">
        <x:v>57</x:v>
      </x:c>
      <x:c r="J117" s="7" t="n">
        <x:v>79</x:v>
      </x:c>
      <x:c r="K117" s="7" t="n">
        <x:v>67</x:v>
      </x:c>
      <x:c r="L117" s="8" t="inlineStr">
        <x:is>
          <x:t xml:space="preserve">UNTESTED</x:t>
        </x:is>
      </x:c>
      <x:c r="M117" s="9" t="inlineStr">
        <x:is>
          <x:t xml:space="preserve">UNTESTED</x:t>
        </x:is>
      </x:c>
      <x:c r="N117" s="5" t="inlineStr">
        <x:is>
          <x:t xml:space="preserve">routing; code reasoning; repo context; file edit; test execution; structured output</x:t>
        </x:is>
      </x:c>
      <x:c r="O117" s="5" t="inlineStr">
        <x:is>
          <x:t xml:space="preserve">No</x:t>
        </x:is>
      </x:c>
      <x:c r="P117" s="5" t="inlineStr">
        <x:is>
          <x:t xml:space="preserve">Medium</x:t>
        </x:is>
      </x:c>
      <x:c r="Q117" s="5" t="inlineStr">
        <x:is>
          <x:t xml:space="preserve">High</x:t>
        </x:is>
      </x:c>
      <x:c r="R117" s="5" t="inlineStr">
        <x:is>
          <x:t xml:space="preserve">Medium</x:t>
        </x:is>
      </x:c>
      <x:c r="S117" s="5" t="inlineStr">
        <x:is>
          <x:t xml:space="preserve">Low</x:t>
        </x:is>
      </x:c>
      <x:c r="T117" s="5" t="inlineStr">
        <x:is>
          <x:t xml:space="preserve">Claude Code primary; ChatGPT critique; web optional</x:t>
        </x:is>
      </x:c>
      <x:c r="U117" s="5" t="inlineStr">
        <x:is>
          <x:t xml:space="preserve">Medium</x:t>
        </x:is>
      </x:c>
      <x:c r="V117" s="10" t="n">
        <x:v>2</x:v>
      </x:c>
      <x:c r="W117" s="5" t="inlineStr">
        <x:is>
          <x:t xml:space="preserve">Live execution + code diff + output review</x:t>
        </x:is>
      </x:c>
      <x:c r="X117" s="5" t="inlineStr">
        <x:is>
          <x:t xml:space="preserve">code patch / spec / architecture / debug report</x:t>
        </x:is>
      </x:c>
      <x:c r="Y117" s="5" t="inlineStr">
        <x:is>
          <x:t xml:space="preserve">Produces correct technical plan or working code without breaking current behavior.</x:t>
        </x:is>
      </x:c>
      <x:c r="Z117" s="5" t="inlineStr">
        <x:is>
          <x:t xml:space="preserve">Hallucinated codebase facts, unsafe refactor, broken tests, or vague technical output.</x:t>
        </x:is>
      </x:c>
      <x:c r="AA117" s="5" t="inlineStr">
        <x:is>
          <x:t xml:space="preserve">routing / tool wiring / repo context / codegen guardrails</x:t>
        </x:is>
      </x:c>
      <x:c r="AB117" s="5" t="inlineStr">
        <x:is>
          <x:t xml:space="preserve"/>
        </x:is>
      </x:c>
      <x:c r="AC117" s="5" t="inlineStr">
        <x:is>
          <x:t xml:space="preserve">OpenAI/common use: writing+coding; Menlo enterprise coding is 55% of departmental AI spend; Deloitte top app: work assistance.</x:t>
        </x:is>
      </x:c>
      <x:c r="AD117" s="5" t="inlineStr">
        <x:is>
          <x:t xml:space="preserve">OpenAI GPT-5 / How People Use ChatGPT; Menlo State of GenAI in Enterprise 2025; Deloitte Connected Consumer 2025</x:t>
        </x:is>
      </x:c>
      <x:c r="AE117" s="11">
        <x:f>IF(O117="High",20,IF(O117="Medium",10,IF(O117="Low",5,0)))+IF(P117="High",20,IF(P117="Medium",10,IF(P117="Low",5,0)))+IF(Q117="High",20,IF(Q117="Medium",10,IF(Q117="Low",5,0)))+IF(R117="High",20,IF(R117="Medium",10,IF(R117="Low",5,0)))+IF(S117="High",20,IF(S117="Medium",10,IF(S117="Low",5,0)))</x:f>
        <x:v>45</x:v>
      </x:c>
      <x:c r="AF117" s="12">
        <x:f>ROUND(H117*0.30+J117*0.25+K117*0.20+(100-AE117)*0.10+(100-(V117*20))*0.15,0)</x:f>
        <x:v>65</x:v>
      </x:c>
      <x:c r="AG117" s="13" t="str">
        <x:f>IF(AF117&gt;=80,"Batch 1",IF(AF117&gt;=70,"Batch 2",IF(AF117&gt;=60,"Batch 3","Backlog")))</x:f>
        <x:v>Batch 3</x:v>
      </x:c>
      <x:c r="AH117" t="inlineStr">
        <x:is>
          <x:t xml:space="preserve"/>
        </x:is>
      </x:c>
    </x:row>
    <x:row r="118">
      <x:c r="A118" s="5" t="inlineStr">
        <x:is>
          <x:t xml:space="preserve">GPO-STA-06</x:t>
        </x:is>
      </x:c>
      <x:c r="B118" s="5" t="n">
        <x:v>114</x:v>
      </x:c>
      <x:c r="C118" s="5" t="inlineStr">
        <x:is>
          <x:t xml:space="preserve">Startup &amp; Business Builder</x:t>
        </x:is>
      </x:c>
      <x:c r="D118" s="5" t="inlineStr">
        <x:is>
          <x:t xml:space="preserve">Build</x:t>
        </x:is>
      </x:c>
      <x:c r="E118" s="5" t="inlineStr">
        <x:is>
          <x:t xml:space="preserve">Core 150</x:t>
        </x:is>
      </x:c>
      <x:c r="F118" s="5" t="n">
        <x:v>6</x:v>
      </x:c>
      <x:c r="G118" s="5" t="inlineStr">
        <x:is>
          <x:t xml:space="preserve">Design a founder operating cadence for building {startup} without chaos.</x:t>
        </x:is>
      </x:c>
      <x:c r="H118" s="6" t="n">
        <x:v>59</x:v>
      </x:c>
      <x:c r="I118" s="6" t="n">
        <x:v>59</x:v>
      </x:c>
      <x:c r="J118" s="7" t="n">
        <x:v>76</x:v>
      </x:c>
      <x:c r="K118" s="7" t="n">
        <x:v>67</x:v>
      </x:c>
      <x:c r="L118" s="8" t="inlineStr">
        <x:is>
          <x:t xml:space="preserve">UNTESTED</x:t>
        </x:is>
      </x:c>
      <x:c r="M118" s="9" t="inlineStr">
        <x:is>
          <x:t xml:space="preserve">UNTESTED</x:t>
        </x:is>
      </x:c>
      <x:c r="N118" s="5" t="inlineStr">
        <x:is>
          <x:t xml:space="preserve">strategy; product thinking; GTM reasoning; structured planning</x:t>
        </x:is>
      </x:c>
      <x:c r="O118" s="5" t="inlineStr">
        <x:is>
          <x:t xml:space="preserve">Medium</x:t>
        </x:is>
      </x:c>
      <x:c r="P118" s="5" t="inlineStr">
        <x:is>
          <x:t xml:space="preserve">High</x:t>
        </x:is>
      </x:c>
      <x:c r="Q118" s="5" t="inlineStr">
        <x:is>
          <x:t xml:space="preserve">Low</x:t>
        </x:is>
      </x:c>
      <x:c r="R118" s="5" t="inlineStr">
        <x:is>
          <x:t xml:space="preserve">Medium</x:t>
        </x:is>
      </x:c>
      <x:c r="S118" s="5" t="inlineStr">
        <x:is>
          <x:t xml:space="preserve">Low</x:t>
        </x:is>
      </x:c>
      <x:c r="T118" s="5" t="inlineStr">
        <x:is>
          <x:t xml:space="preserve">Claude + ChatGPT combo</x:t>
        </x:is>
      </x:c>
      <x:c r="U118" s="5" t="inlineStr">
        <x:is>
          <x:t xml:space="preserve">Easy</x:t>
        </x:is>
      </x:c>
      <x:c r="V118" s="10" t="n">
        <x:v>1</x:v>
      </x:c>
      <x:c r="W118" s="5" t="inlineStr">
        <x:is>
          <x:t xml:space="preserve">Plan generation + critique + strategic review</x:t>
        </x:is>
      </x:c>
      <x:c r="X118" s="5" t="inlineStr">
        <x:is>
          <x:t xml:space="preserve">roadmap / GTM plan / business memo</x:t>
        </x:is>
      </x:c>
      <x:c r="Y118" s="5" t="inlineStr">
        <x:is>
          <x:t xml:space="preserve">Recommendation is strategically sharp, prioritized, and grounded in market reality.</x:t>
        </x:is>
      </x:c>
      <x:c r="Z118" s="5" t="inlineStr">
        <x:is>
          <x:t xml:space="preserve">Buzzwordy output, no wedge, weak prioritization, or unearned confidence.</x:t>
        </x:is>
      </x:c>
      <x:c r="AA118" s="5" t="inlineStr">
        <x:is>
          <x:t xml:space="preserve">strategy templates / board logic / critique loop</x:t>
        </x:is>
      </x:c>
      <x:c r="AB118" s="5" t="inlineStr">
        <x:is>
          <x:t xml:space="preserve"/>
        </x:is>
      </x:c>
      <x:c r="AC118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18" s="5" t="inlineStr">
        <x:is>
          <x:t xml:space="preserve">OpenAI How People Use ChatGPT paper; Menlo State of Consumer AI 2025; Menlo AI UI Problem 2025</x:t>
        </x:is>
      </x:c>
      <x:c r="AE118" s="11">
        <x:f>IF(O118="High",20,IF(O118="Medium",10,IF(O118="Low",5,0)))+IF(P118="High",20,IF(P118="Medium",10,IF(P118="Low",5,0)))+IF(Q118="High",20,IF(Q118="Medium",10,IF(Q118="Low",5,0)))+IF(R118="High",20,IF(R118="Medium",10,IF(R118="Low",5,0)))+IF(S118="High",20,IF(S118="Medium",10,IF(S118="Low",5,0)))</x:f>
        <x:v>50</x:v>
      </x:c>
      <x:c r="AF118" s="12">
        <x:f>ROUND(H118*0.30+J118*0.25+K118*0.20+(100-AE118)*0.10+(100-(V118*20))*0.15,0)</x:f>
        <x:v>67</x:v>
      </x:c>
      <x:c r="AG118" s="13" t="str">
        <x:f>IF(AF118&gt;=80,"Batch 1",IF(AF118&gt;=70,"Batch 2",IF(AF118&gt;=60,"Batch 3","Backlog")))</x:f>
        <x:v>Batch 3</x:v>
      </x:c>
      <x:c r="AH118" t="inlineStr">
        <x:is>
          <x:t xml:space="preserve"/>
        </x:is>
      </x:c>
    </x:row>
    <x:row r="119">
      <x:c r="A119" s="5" t="inlineStr">
        <x:is>
          <x:t xml:space="preserve">GPO-RES-15</x:t>
        </x:is>
      </x:c>
      <x:c r="B119" s="5" t="n">
        <x:v>115</x:v>
      </x:c>
      <x:c r="C119" s="5" t="inlineStr">
        <x:is>
          <x:t xml:space="preserve">Research &amp; Analysis</x:t>
        </x:is>
      </x:c>
      <x:c r="D119" s="5" t="inlineStr">
        <x:is>
          <x:t xml:space="preserve">Think</x:t>
        </x:is>
      </x:c>
      <x:c r="E119" s="5" t="inlineStr">
        <x:is>
          <x:t xml:space="preserve">Expansion 150</x:t>
        </x:is>
      </x:c>
      <x:c r="F119" s="5" t="n">
        <x:v>15</x:v>
      </x:c>
      <x:c r="G119" s="5" t="inlineStr">
        <x:is>
          <x:t xml:space="preserve">Find the best path to achieve my main goal given my budget, constraints, and timeline.</x:t>
        </x:is>
      </x:c>
      <x:c r="H119" s="6" t="n">
        <x:v>58</x:v>
      </x:c>
      <x:c r="I119" s="6" t="n">
        <x:v>58</x:v>
      </x:c>
      <x:c r="J119" s="7" t="n">
        <x:v>77</x:v>
      </x:c>
      <x:c r="K119" s="7" t="n">
        <x:v>67</x:v>
      </x:c>
      <x:c r="L119" s="8" t="inlineStr">
        <x:is>
          <x:t xml:space="preserve">UNTESTED</x:t>
        </x:is>
      </x:c>
      <x:c r="M119" s="9" t="inlineStr">
        <x:is>
          <x:t xml:space="preserve">UNTESTED</x:t>
        </x:is>
      </x:c>
      <x:c r="N119" s="5" t="inlineStr">
        <x:is>
          <x:t xml:space="preserve">web research; synthesis; citation discipline; decision framing</x:t>
        </x:is>
      </x:c>
      <x:c r="O119" s="5" t="inlineStr">
        <x:is>
          <x:t xml:space="preserve">High</x:t>
        </x:is>
      </x:c>
      <x:c r="P119" s="5" t="inlineStr">
        <x:is>
          <x:t xml:space="preserve">Medium</x:t>
        </x:is>
      </x:c>
      <x:c r="Q119" s="5" t="inlineStr">
        <x:is>
          <x:t xml:space="preserve">Medium</x:t>
        </x:is>
      </x:c>
      <x:c r="R119" s="5" t="inlineStr">
        <x:is>
          <x:t xml:space="preserve">Medium</x:t>
        </x:is>
      </x:c>
      <x:c r="S119" s="5" t="inlineStr">
        <x:is>
          <x:t xml:space="preserve">Low</x:t>
        </x:is>
      </x:c>
      <x:c r="T119" s="5" t="inlineStr">
        <x:is>
          <x:t xml:space="preserve">ChatGPT with web; Claude for synthesis</x:t>
        </x:is>
      </x:c>
      <x:c r="U119" s="5" t="inlineStr">
        <x:is>
          <x:t xml:space="preserve">Easy</x:t>
        </x:is>
      </x:c>
      <x:c r="V119" s="10" t="n">
        <x:v>1</x:v>
      </x:c>
      <x:c r="W119" s="5" t="inlineStr">
        <x:is>
          <x:t xml:space="preserve">Live research + source validation + recommendation review</x:t>
        </x:is>
      </x:c>
      <x:c r="X119" s="5" t="inlineStr">
        <x:is>
          <x:t xml:space="preserve">brief / comparison / decision memo / risk analysis</x:t>
        </x:is>
      </x:c>
      <x:c r="Y119" s="5" t="inlineStr">
        <x:is>
          <x:t xml:space="preserve">Accurate synthesis with evidence, tradeoffs, and a concrete recommendation.</x:t>
        </x:is>
      </x:c>
      <x:c r="Z119" s="5" t="inlineStr">
        <x:is>
          <x:t xml:space="preserve">Stale facts, no citations, weak reasoning, or surface-level synthesis.</x:t>
        </x:is>
      </x:c>
      <x:c r="AA119" s="5" t="inlineStr">
        <x:is>
          <x:t xml:space="preserve">web integration / citation enforcement / analysis rubric</x:t>
        </x:is>
      </x:c>
      <x:c r="AB119" s="5" t="inlineStr">
        <x:is>
          <x:t xml:space="preserve"/>
        </x:is>
      </x:c>
      <x:c r="AC119" s="5" t="inlineStr">
        <x:is>
          <x:t xml:space="preserve">OpenAI usage paper: Seeking Information is in top 3 categories; work/advice/search are common across Deloitte and OpenAI.</x:t>
        </x:is>
      </x:c>
      <x:c r="AD119" s="5" t="inlineStr">
        <x:is>
          <x:t xml:space="preserve">OpenAI How People Use ChatGPT paper; Deloitte Connected Consumer 2025</x:t>
        </x:is>
      </x:c>
      <x:c r="AE119" s="11">
        <x:f>IF(O119="High",20,IF(O119="Medium",10,IF(O119="Low",5,0)))+IF(P119="High",20,IF(P119="Medium",10,IF(P119="Low",5,0)))+IF(Q119="High",20,IF(Q119="Medium",10,IF(Q119="Low",5,0)))+IF(R119="High",20,IF(R119="Medium",10,IF(R119="Low",5,0)))+IF(S119="High",20,IF(S119="Medium",10,IF(S119="Low",5,0)))</x:f>
        <x:v>55</x:v>
      </x:c>
      <x:c r="AF119" s="12">
        <x:f>ROUND(H119*0.30+J119*0.25+K119*0.20+(100-AE119)*0.10+(100-(V119*20))*0.15,0)</x:f>
        <x:v>67</x:v>
      </x:c>
      <x:c r="AG119" s="13" t="str">
        <x:f>IF(AF119&gt;=80,"Batch 1",IF(AF119&gt;=70,"Batch 2",IF(AF119&gt;=60,"Batch 3","Backlog")))</x:f>
        <x:v>Batch 3</x:v>
      </x:c>
      <x:c r="AH119" t="inlineStr">
        <x:is>
          <x:t xml:space="preserve"/>
        </x:is>
      </x:c>
    </x:row>
    <x:row r="120">
      <x:c r="A120" s="5" t="inlineStr">
        <x:is>
          <x:t xml:space="preserve">GPO-SCR-01</x:t>
        </x:is>
      </x:c>
      <x:c r="B120" s="5" t="n">
        <x:v>116</x:v>
      </x:c>
      <x:c r="C120" s="5" t="inlineStr">
        <x:is>
          <x:t xml:space="preserve">Screenwriting &amp; Story Development</x:t>
        </x:is>
      </x:c>
      <x:c r="D120" s="5" t="inlineStr">
        <x:is>
          <x:t xml:space="preserve">Create</x:t>
        </x:is>
      </x:c>
      <x:c r="E120" s="5" t="inlineStr">
        <x:is>
          <x:t xml:space="preserve">Core 150</x:t>
        </x:is>
      </x:c>
      <x:c r="F120" s="5" t="n">
        <x:v>1</x:v>
      </x:c>
      <x:c r="G120" s="5" t="inlineStr">
        <x:is>
          <x:t xml:space="preserve">Turn this film idea into a strong logline, premise, and thematic core.</x:t>
        </x:is>
      </x:c>
      <x:c r="H120" s="6" t="n">
        <x:v>58</x:v>
      </x:c>
      <x:c r="I120" s="6" t="n">
        <x:v>58</x:v>
      </x:c>
      <x:c r="J120" s="7" t="n">
        <x:v>77</x:v>
      </x:c>
      <x:c r="K120" s="7" t="n">
        <x:v>67</x:v>
      </x:c>
      <x:c r="L120" s="8" t="inlineStr">
        <x:is>
          <x:t xml:space="preserve">UNTESTED</x:t>
        </x:is>
      </x:c>
      <x:c r="M120" s="9" t="inlineStr">
        <x:is>
          <x:t xml:space="preserve">UNTESTED</x:t>
        </x:is>
      </x:c>
      <x:c r="N120" s="5" t="inlineStr">
        <x:is>
          <x:t xml:space="preserve">creative ideation; story structure; tone control; character design</x:t>
        </x:is>
      </x:c>
      <x:c r="O120" s="5" t="inlineStr">
        <x:is>
          <x:t xml:space="preserve">Low</x:t>
        </x:is>
      </x:c>
      <x:c r="P120" s="5" t="inlineStr">
        <x:is>
          <x:t xml:space="preserve">Medium</x:t>
        </x:is>
      </x:c>
      <x:c r="Q120" s="5" t="inlineStr">
        <x:is>
          <x:t xml:space="preserve">Low</x:t>
        </x:is>
      </x:c>
      <x:c r="R120" s="5" t="inlineStr">
        <x:is>
          <x:t xml:space="preserve">Low</x:t>
        </x:is>
      </x:c>
      <x:c r="S120" s="5" t="inlineStr">
        <x:is>
          <x:t xml:space="preserve">Low</x:t>
        </x:is>
      </x:c>
      <x:c r="T120" s="5" t="inlineStr">
        <x:is>
          <x:t xml:space="preserve">ChatGPT or Claude creative mode</x:t>
        </x:is>
      </x:c>
      <x:c r="U120" s="5" t="inlineStr">
        <x:is>
          <x:t xml:space="preserve">Easy</x:t>
        </x:is>
      </x:c>
      <x:c r="V120" s="10" t="n">
        <x:v>1</x:v>
      </x:c>
      <x:c r="W120" s="5" t="inlineStr">
        <x:is>
          <x:t xml:space="preserve">Creative prompt run + human taste review</x:t>
        </x:is>
      </x:c>
      <x:c r="X120" s="5" t="inlineStr">
        <x:is>
          <x:t xml:space="preserve">logline / outline / scene rewrite / treatment</x:t>
        </x:is>
      </x:c>
      <x:c r="Y120" s="5" t="inlineStr">
        <x:is>
          <x:t xml:space="preserve">Story work feels coherent, original, and emotionally alive.</x:t>
        </x:is>
      </x:c>
      <x:c r="Z120" s="5" t="inlineStr">
        <x:is>
          <x:t xml:space="preserve">Cliche ideas, flat dialogue, weak stakes, or no tonal discipline.</x:t>
        </x:is>
      </x:c>
      <x:c r="AA120" s="5" t="inlineStr">
        <x:is>
          <x:t xml:space="preserve">creative mode / style packs / development workflow</x:t>
        </x:is>
      </x:c>
      <x:c r="AB120" s="5" t="inlineStr">
        <x:is>
          <x:t xml:space="preserve"/>
        </x:is>
      </x:c>
      <x:c r="AC120" s="5" t="inlineStr">
        <x:is>
          <x:t xml:space="preserve">OpenAI practical guidance includes creative ideation; creator surveys show broad use of generative AI in creative workflows.</x:t>
        </x:is>
      </x:c>
      <x:c r="AD120" s="5" t="inlineStr">
        <x:is>
          <x:t xml:space="preserve">OpenAI How People Use ChatGPT paper; Adobe creators survey 2025; Wondercraft/Digiday creator workflow survey 2025</x:t>
        </x:is>
      </x:c>
      <x:c r="AE120" s="11">
        <x:f>IF(O120="High",20,IF(O120="Medium",10,IF(O120="Low",5,0)))+IF(P120="High",20,IF(P120="Medium",10,IF(P120="Low",5,0)))+IF(Q120="High",20,IF(Q120="Medium",10,IF(Q120="Low",5,0)))+IF(R120="High",20,IF(R120="Medium",10,IF(R120="Low",5,0)))+IF(S120="High",20,IF(S120="Medium",10,IF(S120="Low",5,0)))</x:f>
        <x:v>30</x:v>
      </x:c>
      <x:c r="AF120" s="12">
        <x:f>ROUND(H120*0.30+J120*0.25+K120*0.20+(100-AE120)*0.10+(100-(V120*20))*0.15,0)</x:f>
        <x:v>69</x:v>
      </x:c>
      <x:c r="AG120" s="13" t="str">
        <x:f>IF(AF120&gt;=80,"Batch 1",IF(AF120&gt;=70,"Batch 2",IF(AF120&gt;=60,"Batch 3","Backlog")))</x:f>
        <x:v>Batch 3</x:v>
      </x:c>
      <x:c r="AH120" t="inlineStr">
        <x:is>
          <x:t xml:space="preserve"/>
        </x:is>
      </x:c>
    </x:row>
    <x:row r="121">
      <x:c r="A121" s="5" t="inlineStr">
        <x:is>
          <x:t xml:space="preserve">GPO-SHO-11</x:t>
        </x:is>
      </x:c>
      <x:c r="B121" s="5" t="n">
        <x:v>117</x:v>
      </x:c>
      <x:c r="C121" s="5" t="inlineStr">
        <x:is>
          <x:t xml:space="preserve">Shopping &amp; Buying Advisor</x:t>
        </x:is>
      </x:c>
      <x:c r="D121" s="5" t="inlineStr">
        <x:is>
          <x:t xml:space="preserve">Buy</x:t>
        </x:is>
      </x:c>
      <x:c r="E121" s="5" t="inlineStr">
        <x:is>
          <x:t xml:space="preserve">Expansion 150</x:t>
        </x:is>
      </x:c>
      <x:c r="F121" s="5" t="n">
        <x:v>11</x:v>
      </x:c>
      <x:c r="G121" s="5" t="inlineStr">
        <x:is>
          <x:t xml:space="preserve">Tell me the total cost of ownership for web app over the timeframe.</x:t>
        </x:is>
      </x:c>
      <x:c r="H121" s="6" t="n">
        <x:v>58</x:v>
      </x:c>
      <x:c r="I121" s="6" t="n">
        <x:v>58</x:v>
      </x:c>
      <x:c r="J121" s="7" t="n">
        <x:v>77</x:v>
      </x:c>
      <x:c r="K121" s="7" t="n">
        <x:v>67</x:v>
      </x:c>
      <x:c r="L121" s="8" t="inlineStr">
        <x:is>
          <x:t xml:space="preserve">UNTESTED</x:t>
        </x:is>
      </x:c>
      <x:c r="M121" s="9" t="inlineStr">
        <x:is>
          <x:t xml:space="preserve">UNTESTED</x:t>
        </x:is>
      </x:c>
      <x:c r="N121" s="5" t="inlineStr">
        <x:is>
          <x:t xml:space="preserve">web/product research; comparison; price-value reasoning; shortlist generation</x:t>
        </x:is>
      </x:c>
      <x:c r="O121" s="5" t="inlineStr">
        <x:is>
          <x:t xml:space="preserve">High</x:t>
        </x:is>
      </x:c>
      <x:c r="P121" s="5" t="inlineStr">
        <x:is>
          <x:t xml:space="preserve">Medium</x:t>
        </x:is>
      </x:c>
      <x:c r="Q121" s="5" t="inlineStr">
        <x:is>
          <x:t xml:space="preserve">Medium</x:t>
        </x:is>
      </x:c>
      <x:c r="R121" s="5" t="inlineStr">
        <x:is>
          <x:t xml:space="preserve">Low</x:t>
        </x:is>
      </x:c>
      <x:c r="S121" s="5" t="inlineStr">
        <x:is>
          <x:t xml:space="preserve">Low</x:t>
        </x:is>
      </x:c>
      <x:c r="T121" s="5" t="inlineStr">
        <x:is>
          <x:t xml:space="preserve">ChatGPT with web</x:t>
        </x:is>
      </x:c>
      <x:c r="U121" s="5" t="inlineStr">
        <x:is>
          <x:t xml:space="preserve">Easy</x:t>
        </x:is>
      </x:c>
      <x:c r="V121" s="10" t="n">
        <x:v>1</x:v>
      </x:c>
      <x:c r="W121" s="5" t="inlineStr">
        <x:is>
          <x:t xml:space="preserve">Live shopping query + recommendation validation</x:t>
        </x:is>
      </x:c>
      <x:c r="X121" s="5" t="inlineStr">
        <x:is>
          <x:t xml:space="preserve">shortlist / recommendation / comparison / cart plan</x:t>
        </x:is>
      </x:c>
      <x:c r="Y121" s="5" t="inlineStr">
        <x:is>
          <x:t xml:space="preserve">Recommendation fits constraints and explains tradeoffs clearly.</x:t>
        </x:is>
      </x:c>
      <x:c r="Z121" s="5" t="inlineStr">
        <x:is>
          <x:t xml:space="preserve">Outdated products, poor fit, missed constraints, or shallow comparison.</x:t>
        </x:is>
      </x:c>
      <x:c r="AA121" s="5" t="inlineStr">
        <x:is>
          <x:t xml:space="preserve">web/product retrieval / comparison template / user preference memory</x:t>
        </x:is>
      </x:c>
      <x:c r="AB121" s="5" t="inlineStr">
        <x:is>
          <x:t xml:space="preserve"/>
        </x:is>
      </x:c>
      <x:c r="AC121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21" s="5" t="inlineStr">
        <x:is>
          <x:t xml:space="preserve">Deloitte Connected Consumer 2025; Salesforce Connected Shopper 2025; IAB 2025 shopping study</x:t>
        </x:is>
      </x:c>
      <x:c r="AE121" s="11">
        <x:f>IF(O121="High",20,IF(O121="Medium",10,IF(O121="Low",5,0)))+IF(P121="High",20,IF(P121="Medium",10,IF(P121="Low",5,0)))+IF(Q121="High",20,IF(Q121="Medium",10,IF(Q121="Low",5,0)))+IF(R121="High",20,IF(R121="Medium",10,IF(R121="Low",5,0)))+IF(S121="High",20,IF(S121="Medium",10,IF(S121="Low",5,0)))</x:f>
        <x:v>50</x:v>
      </x:c>
      <x:c r="AF121" s="12">
        <x:f>ROUND(H121*0.30+J121*0.25+K121*0.20+(100-AE121)*0.10+(100-(V121*20))*0.15,0)</x:f>
        <x:v>67</x:v>
      </x:c>
      <x:c r="AG121" s="13" t="str">
        <x:f>IF(AF121&gt;=80,"Batch 1",IF(AF121&gt;=70,"Batch 2",IF(AF121&gt;=60,"Batch 3","Backlog")))</x:f>
        <x:v>Batch 3</x:v>
      </x:c>
      <x:c r="AH121" t="inlineStr">
        <x:is>
          <x:t xml:space="preserve"/>
        </x:is>
      </x:c>
    </x:row>
    <x:row r="122">
      <x:c r="A122" s="5" t="inlineStr">
        <x:is>
          <x:t xml:space="preserve">GPO-HEA-04</x:t>
        </x:is>
      </x:c>
      <x:c r="B122" s="5" t="n">
        <x:v>118</x:v>
      </x:c>
      <x:c r="C122" s="5" t="inlineStr">
        <x:is>
          <x:t xml:space="preserve">Health &amp; Wellness Coach</x:t>
        </x:is>
      </x:c>
      <x:c r="D122" s="5" t="inlineStr">
        <x:is>
          <x:t xml:space="preserve">Care</x:t>
        </x:is>
      </x:c>
      <x:c r="E122" s="5" t="inlineStr">
        <x:is>
          <x:t xml:space="preserve">Core 150</x:t>
        </x:is>
      </x:c>
      <x:c r="F122" s="5" t="n">
        <x:v>4</x:v>
      </x:c>
      <x:c r="G122" s="5" t="inlineStr">
        <x:is>
          <x:t xml:space="preserve">Review my lab results/health metrics and explain what to pay attention to.</x:t>
        </x:is>
      </x:c>
      <x:c r="H122" s="6" t="n">
        <x:v>70</x:v>
      </x:c>
      <x:c r="I122" s="6" t="n">
        <x:v>70</x:v>
      </x:c>
      <x:c r="J122" s="7" t="n">
        <x:v>60</x:v>
      </x:c>
      <x:c r="K122" s="7" t="n">
        <x:v>66</x:v>
      </x:c>
      <x:c r="L122" s="8" t="inlineStr">
        <x:is>
          <x:t xml:space="preserve">UNTESTED</x:t>
        </x:is>
      </x:c>
      <x:c r="M122" s="9" t="inlineStr">
        <x:is>
          <x:t xml:space="preserve">UNTESTED</x:t>
        </x:is>
      </x:c>
      <x:c r="N122" s="5" t="inlineStr">
        <x:is>
          <x:t xml:space="preserve">health explanation; risk framing; behavior coaching; careful disclaimer handling</x:t>
        </x:is>
      </x:c>
      <x:c r="O122" s="5" t="inlineStr">
        <x:is>
          <x:t xml:space="preserve">Medium</x:t>
        </x:is>
      </x:c>
      <x:c r="P122" s="5" t="inlineStr">
        <x:is>
          <x:t xml:space="preserve">High</x:t>
        </x:is>
      </x:c>
      <x:c r="Q122" s="5" t="inlineStr">
        <x:is>
          <x:t xml:space="preserve">Low</x:t>
        </x:is>
      </x:c>
      <x:c r="R122" s="5" t="inlineStr">
        <x:is>
          <x:t xml:space="preserve">Low</x:t>
        </x:is>
      </x:c>
      <x:c r="S122" s="5" t="inlineStr">
        <x:is>
          <x:t xml:space="preserve">Medium</x:t>
        </x:is>
      </x:c>
      <x:c r="T122" s="5" t="inlineStr">
        <x:is>
          <x:t xml:space="preserve">ChatGPT primary with careful guardrails</x:t>
        </x:is>
      </x:c>
      <x:c r="U122" s="5" t="inlineStr">
        <x:is>
          <x:t xml:space="preserve">Medium</x:t>
        </x:is>
      </x:c>
      <x:c r="V122" s="10" t="n">
        <x:v>2</x:v>
      </x:c>
      <x:c r="W122" s="5" t="inlineStr">
        <x:is>
          <x:t xml:space="preserve">Scenario prompts + safety review + usefulness review</x:t>
        </x:is>
      </x:c>
      <x:c r="X122" s="5" t="inlineStr">
        <x:is>
          <x:t xml:space="preserve">plan / explanation / checklist / prep brief</x:t>
        </x:is>
      </x:c>
      <x:c r="Y122" s="5" t="inlineStr">
        <x:is>
          <x:t xml:space="preserve">Useful, cautious, practical guidance that stays within safe boundaries.</x:t>
        </x:is>
      </x:c>
      <x:c r="Z122" s="5" t="inlineStr">
        <x:is>
          <x:t xml:space="preserve">Overconfident medical claims, weak escalation guidance, or unsafe advice.</x:t>
        </x:is>
      </x:c>
      <x:c r="AA122" s="5" t="inlineStr">
        <x:is>
          <x:t xml:space="preserve">safety layer / health mode / evidence grounding</x:t>
        </x:is>
      </x:c>
      <x:c r="AB122" s="5" t="inlineStr">
        <x:is>
          <x:t xml:space="preserve"/>
        </x:is>
      </x:c>
      <x:c r="AC122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22" s="5" t="inlineStr">
        <x:is>
          <x:t xml:space="preserve">OpenAI Introducing GPT-5; APPC 2025 health survey; Deloitte Connected Consumer 2025</x:t>
        </x:is>
      </x:c>
      <x:c r="AE122" s="11">
        <x:f>IF(O122="High",20,IF(O122="Medium",10,IF(O122="Low",5,0)))+IF(P122="High",20,IF(P122="Medium",10,IF(P122="Low",5,0)))+IF(Q122="High",20,IF(Q122="Medium",10,IF(Q122="Low",5,0)))+IF(R122="High",20,IF(R122="Medium",10,IF(R122="Low",5,0)))+IF(S122="High",20,IF(S122="Medium",10,IF(S122="Low",5,0)))</x:f>
        <x:v>50</x:v>
      </x:c>
      <x:c r="AF122" s="12">
        <x:f>ROUND(H122*0.30+J122*0.25+K122*0.20+(100-AE122)*0.10+(100-(V122*20))*0.15,0)</x:f>
        <x:v>63</x:v>
      </x:c>
      <x:c r="AG122" s="13" t="str">
        <x:f>IF(AF122&gt;=80,"Batch 1",IF(AF122&gt;=70,"Batch 2",IF(AF122&gt;=60,"Batch 3","Backlog")))</x:f>
        <x:v>Batch 3</x:v>
      </x:c>
      <x:c r="AH122" t="inlineStr">
        <x:is>
          <x:t xml:space="preserve"/>
        </x:is>
      </x:c>
    </x:row>
    <x:row r="123">
      <x:c r="A123" s="5" t="inlineStr">
        <x:is>
          <x:t xml:space="preserve">GPO-PER-07</x:t>
        </x:is>
      </x:c>
      <x:c r="B123" s="5" t="n">
        <x:v>119</x:v>
      </x:c>
      <x:c r="C123" s="5" t="inlineStr">
        <x:is>
          <x:t xml:space="preserve">Personal Finance &amp; Investing</x:t>
        </x:is>
      </x:c>
      <x:c r="D123" s="5" t="inlineStr">
        <x:is>
          <x:t xml:space="preserve">Money</x:t>
        </x:is>
      </x:c>
      <x:c r="E123" s="5" t="inlineStr">
        <x:is>
          <x:t xml:space="preserve">Core 150</x:t>
        </x:is>
      </x:c>
      <x:c r="F123" s="5" t="n">
        <x:v>7</x:v>
      </x:c>
      <x:c r="G123" s="5" t="inlineStr">
        <x:is>
          <x:t xml:space="preserve">Help me optimize credit cards/points/cashback without becoming stupid about it.</x:t>
        </x:is>
      </x:c>
      <x:c r="H123" s="6" t="n">
        <x:v>60</x:v>
      </x:c>
      <x:c r="I123" s="6" t="n">
        <x:v>60</x:v>
      </x:c>
      <x:c r="J123" s="7" t="n">
        <x:v>73</x:v>
      </x:c>
      <x:c r="K123" s="7" t="n">
        <x:v>66</x:v>
      </x:c>
      <x:c r="L123" s="8" t="inlineStr">
        <x:is>
          <x:t xml:space="preserve">UNTESTED</x:t>
        </x:is>
      </x:c>
      <x:c r="M123" s="9" t="inlineStr">
        <x:is>
          <x:t xml:space="preserve">UNTESTED</x:t>
        </x:is>
      </x:c>
      <x:c r="N123" s="5" t="inlineStr">
        <x:is>
          <x:t xml:space="preserve">scenario modeling; budgeting; portfolio reasoning; decision framing</x:t>
        </x:is>
      </x:c>
      <x:c r="O123" s="5" t="inlineStr">
        <x:is>
          <x:t xml:space="preserve">Medium</x:t>
        </x:is>
      </x:c>
      <x:c r="P123" s="5" t="inlineStr">
        <x:is>
          <x:t xml:space="preserve">High</x:t>
        </x:is>
      </x:c>
      <x:c r="Q123" s="5" t="inlineStr">
        <x:is>
          <x:t xml:space="preserve">Medium</x:t>
        </x:is>
      </x:c>
      <x:c r="R123" s="5" t="inlineStr">
        <x:is>
          <x:t xml:space="preserve">Low</x:t>
        </x:is>
      </x:c>
      <x:c r="S123" s="5" t="inlineStr">
        <x:is>
          <x:t xml:space="preserve">Medium</x:t>
        </x:is>
      </x:c>
      <x:c r="T123" s="5" t="inlineStr">
        <x:is>
          <x:t xml:space="preserve">ChatGPT or Claude with spreadsheet support</x:t>
        </x:is>
      </x:c>
      <x:c r="U123" s="5" t="inlineStr">
        <x:is>
          <x:t xml:space="preserve">Easy</x:t>
        </x:is>
      </x:c>
      <x:c r="V123" s="10" t="n">
        <x:v>1</x:v>
      </x:c>
      <x:c r="W123" s="5" t="inlineStr">
        <x:is>
          <x:t xml:space="preserve">Scenario modeling + coherence review</x:t>
        </x:is>
      </x:c>
      <x:c r="X123" s="5" t="inlineStr">
        <x:is>
          <x:t xml:space="preserve">budget / model / plan / recommendation</x:t>
        </x:is>
      </x:c>
      <x:c r="Y123" s="5" t="inlineStr">
        <x:is>
          <x:t xml:space="preserve">Advice is numerically coherent, practical, and transparent about assumptions.</x:t>
        </x:is>
      </x:c>
      <x:c r="Z123" s="5" t="inlineStr">
        <x:is>
          <x:t xml:space="preserve">Bad math, missing assumptions, or overconfident investment guidance.</x:t>
        </x:is>
      </x:c>
      <x:c r="AA123" s="5" t="inlineStr">
        <x:is>
          <x:t xml:space="preserve">financial calculator / assumption schema / spreadsheet outputs</x:t>
        </x:is>
      </x:c>
      <x:c r="AB123" s="5" t="inlineStr">
        <x:is>
          <x:t xml:space="preserve"/>
        </x:is>
      </x:c>
      <x:c r="AC123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23" s="5" t="inlineStr">
        <x:is>
          <x:t xml:space="preserve">FNBO Financial Wellbeing Study 2025; NerdWallet/Harris Poll 2026; PlanAdviser 2026</x:t>
        </x:is>
      </x:c>
      <x:c r="AE123" s="11">
        <x:f>IF(O123="High",20,IF(O123="Medium",10,IF(O123="Low",5,0)))+IF(P123="High",20,IF(P123="Medium",10,IF(P123="Low",5,0)))+IF(Q123="High",20,IF(Q123="Medium",10,IF(Q123="Low",5,0)))+IF(R123="High",20,IF(R123="Medium",10,IF(R123="Low",5,0)))+IF(S123="High",20,IF(S123="Medium",10,IF(S123="Low",5,0)))</x:f>
        <x:v>55</x:v>
      </x:c>
      <x:c r="AF123" s="12">
        <x:f>ROUND(H123*0.30+J123*0.25+K123*0.20+(100-AE123)*0.10+(100-(V123*20))*0.15,0)</x:f>
        <x:v>66</x:v>
      </x:c>
      <x:c r="AG123" s="13" t="str">
        <x:f>IF(AF123&gt;=80,"Batch 1",IF(AF123&gt;=70,"Batch 2",IF(AF123&gt;=60,"Batch 3","Backlog")))</x:f>
        <x:v>Batch 3</x:v>
      </x:c>
      <x:c r="AH123" t="inlineStr">
        <x:is>
          <x:t xml:space="preserve"/>
        </x:is>
      </x:c>
    </x:row>
    <x:row r="124">
      <x:c r="A124" s="5" t="inlineStr">
        <x:is>
          <x:t xml:space="preserve">GPO-SCH-13</x:t>
        </x:is>
      </x:c>
      <x:c r="B124" s="5" t="n">
        <x:v>120</x:v>
      </x:c>
      <x:c r="C124" s="5" t="inlineStr">
        <x:is>
          <x:t xml:space="preserve">Scheduling &amp; Life Operations</x:t>
        </x:is>
      </x:c>
      <x:c r="D124" s="5" t="inlineStr">
        <x:is>
          <x:t xml:space="preserve">Operate</x:t>
        </x:is>
      </x:c>
      <x:c r="E124" s="5" t="inlineStr">
        <x:is>
          <x:t xml:space="preserve">Expansion 150</x:t>
        </x:is>
      </x:c>
      <x:c r="F124" s="5" t="n">
        <x:v>13</x:v>
      </x:c>
      <x:c r="G124" s="5" t="inlineStr">
        <x:is>
          <x:t xml:space="preserve">Help me reduce decision fatigue by standardizing routines for this area.</x:t>
        </x:is>
      </x:c>
      <x:c r="H124" s="6" t="n">
        <x:v>58</x:v>
      </x:c>
      <x:c r="I124" s="6" t="n">
        <x:v>58</x:v>
      </x:c>
      <x:c r="J124" s="7" t="n">
        <x:v>76</x:v>
      </x:c>
      <x:c r="K124" s="7" t="n">
        <x:v>66</x:v>
      </x:c>
      <x:c r="L124" s="8" t="inlineStr">
        <x:is>
          <x:t xml:space="preserve">UNTESTED</x:t>
        </x:is>
      </x:c>
      <x:c r="M124" s="9" t="inlineStr">
        <x:is>
          <x:t xml:space="preserve">UNTESTED</x:t>
        </x:is>
      </x:c>
      <x:c r="N124" s="5" t="inlineStr">
        <x:is>
          <x:t xml:space="preserve">task planning; prioritization; calendar reasoning; personal constraints handling</x:t>
        </x:is>
      </x:c>
      <x:c r="O124" s="5" t="inlineStr">
        <x:is>
          <x:t xml:space="preserve">Low</x:t>
        </x:is>
      </x:c>
      <x:c r="P124" s="5" t="inlineStr">
        <x:is>
          <x:t xml:space="preserve">High</x:t>
        </x:is>
      </x:c>
      <x:c r="Q124" s="5" t="inlineStr">
        <x:is>
          <x:t xml:space="preserve">Medium</x:t>
        </x:is>
      </x:c>
      <x:c r="R124" s="5" t="inlineStr">
        <x:is>
          <x:t xml:space="preserve">Low</x:t>
        </x:is>
      </x:c>
      <x:c r="S124" s="5" t="inlineStr">
        <x:is>
          <x:t xml:space="preserve">Low</x:t>
        </x:is>
      </x:c>
      <x:c r="T124" s="5" t="inlineStr">
        <x:is>
          <x:t xml:space="preserve">ChatGPT primary; calendar integrations later</x:t>
        </x:is>
      </x:c>
      <x:c r="U124" s="5" t="inlineStr">
        <x:is>
          <x:t xml:space="preserve">Easy</x:t>
        </x:is>
      </x:c>
      <x:c r="V124" s="10" t="n">
        <x:v>1</x:v>
      </x:c>
      <x:c r="W124" s="5" t="inlineStr">
        <x:is>
          <x:t xml:space="preserve">Scenario-based planning + operator utility review</x:t>
        </x:is>
      </x:c>
      <x:c r="X124" s="5" t="inlineStr">
        <x:is>
          <x:t xml:space="preserve">schedule / checklist / operating plan</x:t>
        </x:is>
      </x:c>
      <x:c r="Y124" s="5" t="inlineStr">
        <x:is>
          <x:t xml:space="preserve">Plan is realistic, prioritized, and executable under stated constraints.</x:t>
        </x:is>
      </x:c>
      <x:c r="Z124" s="5" t="inlineStr">
        <x:is>
          <x:t xml:space="preserve">Overpacked schedule, ignored constraints, or vague next steps.</x:t>
        </x:is>
      </x:c>
      <x:c r="AA124" s="5" t="inlineStr">
        <x:is>
          <x:t xml:space="preserve">planner engine / memory / calendar-tool integration</x:t>
        </x:is>
      </x:c>
      <x:c r="AB124" s="5" t="inlineStr">
        <x:is>
          <x:t xml:space="preserve"/>
        </x:is>
      </x:c>
      <x:c r="AC124" s="5" t="inlineStr">
        <x:is>
          <x:t xml:space="preserve">Menlo consumer AI: 18% use AI to manage to-do lists and 15% to organize notes; Zao-Sanders ranked 'Organise my life' #2.</x:t>
        </x:is>
      </x:c>
      <x:c r="AD124" s="5" t="inlineStr">
        <x:is>
          <x:t xml:space="preserve">Menlo State of Consumer AI 2025; Zao-Sanders Top-100 GenAI Use Cases 2025</x:t>
        </x:is>
      </x:c>
      <x:c r="AE124" s="11">
        <x:f>IF(O124="High",20,IF(O124="Medium",10,IF(O124="Low",5,0)))+IF(P124="High",20,IF(P124="Medium",10,IF(P124="Low",5,0)))+IF(Q124="High",20,IF(Q124="Medium",10,IF(Q124="Low",5,0)))+IF(R124="High",20,IF(R124="Medium",10,IF(R124="Low",5,0)))+IF(S124="High",20,IF(S124="Medium",10,IF(S124="Low",5,0)))</x:f>
        <x:v>45</x:v>
      </x:c>
      <x:c r="AF124" s="12">
        <x:f>ROUND(H124*0.30+J124*0.25+K124*0.20+(100-AE124)*0.10+(100-(V124*20))*0.15,0)</x:f>
        <x:v>67</x:v>
      </x:c>
      <x:c r="AG124" s="13" t="str">
        <x:f>IF(AF124&gt;=80,"Batch 1",IF(AF124&gt;=70,"Batch 2",IF(AF124&gt;=60,"Batch 3","Backlog")))</x:f>
        <x:v>Batch 3</x:v>
      </x:c>
      <x:c r="AH124" t="inlineStr">
        <x:is>
          <x:t xml:space="preserve"/>
        </x:is>
      </x:c>
    </x:row>
    <x:row r="125">
      <x:c r="A125" s="5" t="inlineStr">
        <x:is>
          <x:t xml:space="preserve">GPO-CAR-07</x:t>
        </x:is>
      </x:c>
      <x:c r="B125" s="5" t="n">
        <x:v>121</x:v>
      </x:c>
      <x:c r="C125" s="5" t="inlineStr">
        <x:is>
          <x:t xml:space="preserve">Career &amp; Job Search</x:t>
        </x:is>
      </x:c>
      <x:c r="D125" s="5" t="inlineStr">
        <x:is>
          <x:t xml:space="preserve">Advance</x:t>
        </x:is>
      </x:c>
      <x:c r="E125" s="5" t="inlineStr">
        <x:is>
          <x:t xml:space="preserve">Core 150</x:t>
        </x:is>
      </x:c>
      <x:c r="F125" s="5" t="n">
        <x:v>7</x:v>
      </x:c>
      <x:c r="G125" s="5" t="inlineStr">
        <x:is>
          <x:t xml:space="preserve">Draft a compelling but credible cover letter or outreach note for {role}.</x:t>
        </x:is>
      </x:c>
      <x:c r="H125" s="6" t="n">
        <x:v>56</x:v>
      </x:c>
      <x:c r="I125" s="6" t="n">
        <x:v>56</x:v>
      </x:c>
      <x:c r="J125" s="7" t="n">
        <x:v>79</x:v>
      </x:c>
      <x:c r="K125" s="7" t="n">
        <x:v>66</x:v>
      </x:c>
      <x:c r="L125" s="8" t="inlineStr">
        <x:is>
          <x:t xml:space="preserve">UNTESTED</x:t>
        </x:is>
      </x:c>
      <x:c r="M125" s="9" t="inlineStr">
        <x:is>
          <x:t xml:space="preserve">UNTESTED</x:t>
        </x:is>
      </x:c>
      <x:c r="N125" s="5" t="inlineStr">
        <x:is>
          <x:t xml:space="preserve">resume tailoring; interview prep; role mapping; narrative building</x:t>
        </x:is>
      </x:c>
      <x:c r="O125" s="5" t="inlineStr">
        <x:is>
          <x:t xml:space="preserve">Medium</x:t>
        </x:is>
      </x:c>
      <x:c r="P125" s="5" t="inlineStr">
        <x:is>
          <x:t xml:space="preserve">High</x:t>
        </x:is>
      </x:c>
      <x:c r="Q125" s="5" t="inlineStr">
        <x:is>
          <x:t xml:space="preserve">Low</x:t>
        </x:is>
      </x:c>
      <x:c r="R125" s="5" t="inlineStr">
        <x:is>
          <x:t xml:space="preserve">Low</x:t>
        </x:is>
      </x:c>
      <x:c r="S125" s="5" t="inlineStr">
        <x:is>
          <x:t xml:space="preserve">Low</x:t>
        </x:is>
      </x:c>
      <x:c r="T125" s="5" t="inlineStr">
        <x:is>
          <x:t xml:space="preserve">ChatGPT primary</x:t>
        </x:is>
      </x:c>
      <x:c r="U125" s="5" t="inlineStr">
        <x:is>
          <x:t xml:space="preserve">Easy</x:t>
        </x:is>
      </x:c>
      <x:c r="V125" s="10" t="n">
        <x:v>1</x:v>
      </x:c>
      <x:c r="W125" s="5" t="inlineStr">
        <x:is>
          <x:t xml:space="preserve">Artifact review + mock interview + targeting review</x:t>
        </x:is>
      </x:c>
      <x:c r="X125" s="5" t="inlineStr">
        <x:is>
          <x:t xml:space="preserve">resume / prep plan / outreach / strategy memo</x:t>
        </x:is>
      </x:c>
      <x:c r="Y125" s="5" t="inlineStr">
        <x:is>
          <x:t xml:space="preserve">Career outputs are specific, credible, and materially improve positioning.</x:t>
        </x:is>
      </x:c>
      <x:c r="Z125" s="5" t="inlineStr">
        <x:is>
          <x:t xml:space="preserve">Generic resume language, fake-sounding stories, or weak role fit.</x:t>
        </x:is>
      </x:c>
      <x:c r="AA125" s="5" t="inlineStr">
        <x:is>
          <x:t xml:space="preserve">career templates / memory / ATS-aware output logic</x:t>
        </x:is>
      </x:c>
      <x:c r="AB125" s="5" t="inlineStr">
        <x:is>
          <x:t xml:space="preserve"/>
        </x:is>
      </x:c>
      <x:c r="AC125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25" s="5" t="inlineStr">
        <x:is>
          <x:t xml:space="preserve">Insight Global AI in Hiring Report 2025; NACE student survey 2025/2026</x:t>
        </x:is>
      </x:c>
      <x:c r="AE125" s="11">
        <x:f>IF(O125="High",20,IF(O125="Medium",10,IF(O125="Low",5,0)))+IF(P125="High",20,IF(P125="Medium",10,IF(P125="Low",5,0)))+IF(Q125="High",20,IF(Q125="Medium",10,IF(Q125="Low",5,0)))+IF(R125="High",20,IF(R125="Medium",10,IF(R125="Low",5,0)))+IF(S125="High",20,IF(S125="Medium",10,IF(S125="Low",5,0)))</x:f>
        <x:v>45</x:v>
      </x:c>
      <x:c r="AF125" s="12">
        <x:f>ROUND(H125*0.30+J125*0.25+K125*0.20+(100-AE125)*0.10+(100-(V125*20))*0.15,0)</x:f>
        <x:v>67</x:v>
      </x:c>
      <x:c r="AG125" s="13" t="str">
        <x:f>IF(AF125&gt;=80,"Batch 1",IF(AF125&gt;=70,"Batch 2",IF(AF125&gt;=60,"Batch 3","Backlog")))</x:f>
        <x:v>Batch 3</x:v>
      </x:c>
      <x:c r="AH125" t="inlineStr">
        <x:is>
          <x:t xml:space="preserve"/>
        </x:is>
      </x:c>
    </x:row>
    <x:row r="126">
      <x:c r="A126" s="5" t="inlineStr">
        <x:is>
          <x:t xml:space="preserve">GPO-LEA-15</x:t>
        </x:is>
      </x:c>
      <x:c r="B126" s="5" t="n">
        <x:v>122</x:v>
      </x:c>
      <x:c r="C126" s="5" t="inlineStr">
        <x:is>
          <x:t xml:space="preserve">Learning &amp; Tutoring</x:t>
        </x:is>
      </x:c>
      <x:c r="D126" s="5" t="inlineStr">
        <x:is>
          <x:t xml:space="preserve">Grow</x:t>
        </x:is>
      </x:c>
      <x:c r="E126" s="5" t="inlineStr">
        <x:is>
          <x:t xml:space="preserve">Expansion 150</x:t>
        </x:is>
      </x:c>
      <x:c r="F126" s="5" t="n">
        <x:v>15</x:v>
      </x:c>
      <x:c r="G126" s="5" t="inlineStr">
        <x:is>
          <x:t xml:space="preserve">Give me the fastest route to become competent in the skill for real-world use.</x:t>
        </x:is>
      </x:c>
      <x:c r="H126" s="6" t="n">
        <x:v>56</x:v>
      </x:c>
      <x:c r="I126" s="6" t="n">
        <x:v>56</x:v>
      </x:c>
      <x:c r="J126" s="7" t="n">
        <x:v>79</x:v>
      </x:c>
      <x:c r="K126" s="7" t="n">
        <x:v>66</x:v>
      </x:c>
      <x:c r="L126" s="8" t="inlineStr">
        <x:is>
          <x:t xml:space="preserve">UNTESTED</x:t>
        </x:is>
      </x:c>
      <x:c r="M126" s="9" t="inlineStr">
        <x:is>
          <x:t xml:space="preserve">UNTESTED</x:t>
        </x:is>
      </x:c>
      <x:c r="N126" s="5" t="inlineStr">
        <x:is>
          <x:t xml:space="preserve">adaptive tutoring; curriculum planning; quiz generation; context retention</x:t>
        </x:is>
      </x:c>
      <x:c r="O126" s="5" t="inlineStr">
        <x:is>
          <x:t xml:space="preserve">Low</x:t>
        </x:is>
      </x:c>
      <x:c r="P126" s="5" t="inlineStr">
        <x:is>
          <x:t xml:space="preserve">High</x:t>
        </x:is>
      </x:c>
      <x:c r="Q126" s="5" t="inlineStr">
        <x:is>
          <x:t xml:space="preserve">Low</x:t>
        </x:is>
      </x:c>
      <x:c r="R126" s="5" t="inlineStr">
        <x:is>
          <x:t xml:space="preserve">Low</x:t>
        </x:is>
      </x:c>
      <x:c r="S126" s="5" t="inlineStr">
        <x:is>
          <x:t xml:space="preserve">Low</x:t>
        </x:is>
      </x:c>
      <x:c r="T126" s="5" t="inlineStr">
        <x:is>
          <x:t xml:space="preserve">ChatGPT primary</x:t>
        </x:is>
      </x:c>
      <x:c r="U126" s="5" t="inlineStr">
        <x:is>
          <x:t xml:space="preserve">Easy</x:t>
        </x:is>
      </x:c>
      <x:c r="V126" s="10" t="n">
        <x:v>1</x:v>
      </x:c>
      <x:c r="W126" s="5" t="inlineStr">
        <x:is>
          <x:t xml:space="preserve">Interactive tutoring session + quality review</x:t>
        </x:is>
      </x:c>
      <x:c r="X126" s="5" t="inlineStr">
        <x:is>
          <x:t xml:space="preserve">lesson / plan / quiz / explanation</x:t>
        </x:is>
      </x:c>
      <x:c r="Y126" s="5" t="inlineStr">
        <x:is>
          <x:t xml:space="preserve">Teaching is accurate, adaptive, and improves understanding rather than over-answering.</x:t>
        </x:is>
      </x:c>
      <x:c r="Z126" s="5" t="inlineStr">
        <x:is>
          <x:t xml:space="preserve">Wrong explanations, over-helping, no adaptation, or generic curriculum.</x:t>
        </x:is>
      </x:c>
      <x:c r="AA126" s="5" t="inlineStr">
        <x:is>
          <x:t xml:space="preserve">tutor mode / memory / scaffolding logic</x:t>
        </x:is>
      </x:c>
      <x:c r="AB126" s="5" t="inlineStr">
        <x:is>
          <x:t xml:space="preserve"/>
        </x:is>
      </x:c>
      <x:c r="AC126" s="5" t="inlineStr">
        <x:is>
          <x:t xml:space="preserve">OpenAI practical guidance includes tutoring; HEPI 2025 says 88% of students use GenAI for assessments, often to explain concepts and summarize articles.</x:t>
        </x:is>
      </x:c>
      <x:c r="AD126" s="5" t="inlineStr">
        <x:is>
          <x:t xml:space="preserve">OpenAI How People Use ChatGPT paper; HEPI Student Generative AI Survey 2025; Brookings 2026 tutoring article</x:t>
        </x:is>
      </x:c>
      <x:c r="AE126" s="11">
        <x:f>IF(O126="High",20,IF(O126="Medium",10,IF(O126="Low",5,0)))+IF(P126="High",20,IF(P126="Medium",10,IF(P126="Low",5,0)))+IF(Q126="High",20,IF(Q126="Medium",10,IF(Q126="Low",5,0)))+IF(R126="High",20,IF(R126="Medium",10,IF(R126="Low",5,0)))+IF(S126="High",20,IF(S126="Medium",10,IF(S126="Low",5,0)))</x:f>
        <x:v>40</x:v>
      </x:c>
      <x:c r="AF126" s="12">
        <x:f>ROUND(H126*0.30+J126*0.25+K126*0.20+(100-AE126)*0.10+(100-(V126*20))*0.15,0)</x:f>
        <x:v>68</x:v>
      </x:c>
      <x:c r="AG126" s="13" t="str">
        <x:f>IF(AF126&gt;=80,"Batch 1",IF(AF126&gt;=70,"Batch 2",IF(AF126&gt;=60,"Batch 3","Backlog")))</x:f>
        <x:v>Batch 3</x:v>
      </x:c>
      <x:c r="AH126" t="inlineStr">
        <x:is>
          <x:t xml:space="preserve"/>
        </x:is>
      </x:c>
    </x:row>
    <x:row r="127">
      <x:c r="A127" s="5" t="inlineStr">
        <x:is>
          <x:t xml:space="preserve">GPO-STA-07</x:t>
        </x:is>
      </x:c>
      <x:c r="B127" s="5" t="n">
        <x:v>123</x:v>
      </x:c>
      <x:c r="C127" s="5" t="inlineStr">
        <x:is>
          <x:t xml:space="preserve">Startup &amp; Business Builder</x:t>
        </x:is>
      </x:c>
      <x:c r="D127" s="5" t="inlineStr">
        <x:is>
          <x:t xml:space="preserve">Build</x:t>
        </x:is>
      </x:c>
      <x:c r="E127" s="5" t="inlineStr">
        <x:is>
          <x:t xml:space="preserve">Core 150</x:t>
        </x:is>
      </x:c>
      <x:c r="F127" s="5" t="n">
        <x:v>7</x:v>
      </x:c>
      <x:c r="G127" s="5" t="inlineStr">
        <x:is>
          <x:t xml:space="preserve">Evaluate whether this should be a SaaS, marketplace, agency, or something else.</x:t>
        </x:is>
      </x:c>
      <x:c r="H127" s="6" t="n">
        <x:v>58</x:v>
      </x:c>
      <x:c r="I127" s="6" t="n">
        <x:v>58</x:v>
      </x:c>
      <x:c r="J127" s="7" t="n">
        <x:v>75</x:v>
      </x:c>
      <x:c r="K127" s="7" t="n">
        <x:v>66</x:v>
      </x:c>
      <x:c r="L127" s="8" t="inlineStr">
        <x:is>
          <x:t xml:space="preserve">UNTESTED</x:t>
        </x:is>
      </x:c>
      <x:c r="M127" s="9" t="inlineStr">
        <x:is>
          <x:t xml:space="preserve">UNTESTED</x:t>
        </x:is>
      </x:c>
      <x:c r="N127" s="5" t="inlineStr">
        <x:is>
          <x:t xml:space="preserve">strategy; product thinking; GTM reasoning; structured planning</x:t>
        </x:is>
      </x:c>
      <x:c r="O127" s="5" t="inlineStr">
        <x:is>
          <x:t xml:space="preserve">Medium</x:t>
        </x:is>
      </x:c>
      <x:c r="P127" s="5" t="inlineStr">
        <x:is>
          <x:t xml:space="preserve">High</x:t>
        </x:is>
      </x:c>
      <x:c r="Q127" s="5" t="inlineStr">
        <x:is>
          <x:t xml:space="preserve">Low</x:t>
        </x:is>
      </x:c>
      <x:c r="R127" s="5" t="inlineStr">
        <x:is>
          <x:t xml:space="preserve">Medium</x:t>
        </x:is>
      </x:c>
      <x:c r="S127" s="5" t="inlineStr">
        <x:is>
          <x:t xml:space="preserve">Low</x:t>
        </x:is>
      </x:c>
      <x:c r="T127" s="5" t="inlineStr">
        <x:is>
          <x:t xml:space="preserve">Claude + ChatGPT combo</x:t>
        </x:is>
      </x:c>
      <x:c r="U127" s="5" t="inlineStr">
        <x:is>
          <x:t xml:space="preserve">Easy</x:t>
        </x:is>
      </x:c>
      <x:c r="V127" s="10" t="n">
        <x:v>1</x:v>
      </x:c>
      <x:c r="W127" s="5" t="inlineStr">
        <x:is>
          <x:t xml:space="preserve">Plan generation + critique + strategic review</x:t>
        </x:is>
      </x:c>
      <x:c r="X127" s="5" t="inlineStr">
        <x:is>
          <x:t xml:space="preserve">roadmap / GTM plan / business memo</x:t>
        </x:is>
      </x:c>
      <x:c r="Y127" s="5" t="inlineStr">
        <x:is>
          <x:t xml:space="preserve">Recommendation is strategically sharp, prioritized, and grounded in market reality.</x:t>
        </x:is>
      </x:c>
      <x:c r="Z127" s="5" t="inlineStr">
        <x:is>
          <x:t xml:space="preserve">Buzzwordy output, no wedge, weak prioritization, or unearned confidence.</x:t>
        </x:is>
      </x:c>
      <x:c r="AA127" s="5" t="inlineStr">
        <x:is>
          <x:t xml:space="preserve">strategy templates / board logic / critique loop</x:t>
        </x:is>
      </x:c>
      <x:c r="AB127" s="5" t="inlineStr">
        <x:is>
          <x:t xml:space="preserve"/>
        </x:is>
      </x:c>
      <x:c r="AC127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27" s="5" t="inlineStr">
        <x:is>
          <x:t xml:space="preserve">OpenAI How People Use ChatGPT paper; Menlo State of Consumer AI 2025; Menlo AI UI Problem 2025</x:t>
        </x:is>
      </x:c>
      <x:c r="AE127" s="11">
        <x:f>IF(O127="High",20,IF(O127="Medium",10,IF(O127="Low",5,0)))+IF(P127="High",20,IF(P127="Medium",10,IF(P127="Low",5,0)))+IF(Q127="High",20,IF(Q127="Medium",10,IF(Q127="Low",5,0)))+IF(R127="High",20,IF(R127="Medium",10,IF(R127="Low",5,0)))+IF(S127="High",20,IF(S127="Medium",10,IF(S127="Low",5,0)))</x:f>
        <x:v>50</x:v>
      </x:c>
      <x:c r="AF127" s="12">
        <x:f>ROUND(H127*0.30+J127*0.25+K127*0.20+(100-AE127)*0.10+(100-(V127*20))*0.15,0)</x:f>
        <x:v>66</x:v>
      </x:c>
      <x:c r="AG127" s="13" t="str">
        <x:f>IF(AF127&gt;=80,"Batch 1",IF(AF127&gt;=70,"Batch 2",IF(AF127&gt;=60,"Batch 3","Backlog")))</x:f>
        <x:v>Batch 3</x:v>
      </x:c>
      <x:c r="AH127" t="inlineStr">
        <x:is>
          <x:t xml:space="preserve"/>
        </x:is>
      </x:c>
    </x:row>
    <x:row r="128">
      <x:c r="A128" s="5" t="inlineStr">
        <x:is>
          <x:t xml:space="preserve">GPO-SCR-02</x:t>
        </x:is>
      </x:c>
      <x:c r="B128" s="5" t="n">
        <x:v>124</x:v>
      </x:c>
      <x:c r="C128" s="5" t="inlineStr">
        <x:is>
          <x:t xml:space="preserve">Screenwriting &amp; Story Development</x:t>
        </x:is>
      </x:c>
      <x:c r="D128" s="5" t="inlineStr">
        <x:is>
          <x:t xml:space="preserve">Create</x:t>
        </x:is>
      </x:c>
      <x:c r="E128" s="5" t="inlineStr">
        <x:is>
          <x:t xml:space="preserve">Core 150</x:t>
        </x:is>
      </x:c>
      <x:c r="F128" s="5" t="n">
        <x:v>2</x:v>
      </x:c>
      <x:c r="G128" s="5" t="inlineStr">
        <x:is>
          <x:t xml:space="preserve">Outline a feature film/series pilot with compelling structure and escalation.</x:t>
        </x:is>
      </x:c>
      <x:c r="H128" s="6" t="n">
        <x:v>57</x:v>
      </x:c>
      <x:c r="I128" s="6" t="n">
        <x:v>57</x:v>
      </x:c>
      <x:c r="J128" s="7" t="n">
        <x:v>76</x:v>
      </x:c>
      <x:c r="K128" s="7" t="n">
        <x:v>66</x:v>
      </x:c>
      <x:c r="L128" s="8" t="inlineStr">
        <x:is>
          <x:t xml:space="preserve">UNTESTED</x:t>
        </x:is>
      </x:c>
      <x:c r="M128" s="9" t="inlineStr">
        <x:is>
          <x:t xml:space="preserve">UNTESTED</x:t>
        </x:is>
      </x:c>
      <x:c r="N128" s="5" t="inlineStr">
        <x:is>
          <x:t xml:space="preserve">creative ideation; story structure; tone control; character design</x:t>
        </x:is>
      </x:c>
      <x:c r="O128" s="5" t="inlineStr">
        <x:is>
          <x:t xml:space="preserve">Low</x:t>
        </x:is>
      </x:c>
      <x:c r="P128" s="5" t="inlineStr">
        <x:is>
          <x:t xml:space="preserve">Medium</x:t>
        </x:is>
      </x:c>
      <x:c r="Q128" s="5" t="inlineStr">
        <x:is>
          <x:t xml:space="preserve">Low</x:t>
        </x:is>
      </x:c>
      <x:c r="R128" s="5" t="inlineStr">
        <x:is>
          <x:t xml:space="preserve">Low</x:t>
        </x:is>
      </x:c>
      <x:c r="S128" s="5" t="inlineStr">
        <x:is>
          <x:t xml:space="preserve">Low</x:t>
        </x:is>
      </x:c>
      <x:c r="T128" s="5" t="inlineStr">
        <x:is>
          <x:t xml:space="preserve">ChatGPT or Claude creative mode</x:t>
        </x:is>
      </x:c>
      <x:c r="U128" s="5" t="inlineStr">
        <x:is>
          <x:t xml:space="preserve">Easy</x:t>
        </x:is>
      </x:c>
      <x:c r="V128" s="10" t="n">
        <x:v>1</x:v>
      </x:c>
      <x:c r="W128" s="5" t="inlineStr">
        <x:is>
          <x:t xml:space="preserve">Creative prompt run + human taste review</x:t>
        </x:is>
      </x:c>
      <x:c r="X128" s="5" t="inlineStr">
        <x:is>
          <x:t xml:space="preserve">logline / outline / scene rewrite / treatment</x:t>
        </x:is>
      </x:c>
      <x:c r="Y128" s="5" t="inlineStr">
        <x:is>
          <x:t xml:space="preserve">Story work feels coherent, original, and emotionally alive.</x:t>
        </x:is>
      </x:c>
      <x:c r="Z128" s="5" t="inlineStr">
        <x:is>
          <x:t xml:space="preserve">Cliche ideas, flat dialogue, weak stakes, or no tonal discipline.</x:t>
        </x:is>
      </x:c>
      <x:c r="AA128" s="5" t="inlineStr">
        <x:is>
          <x:t xml:space="preserve">creative mode / style packs / development workflow</x:t>
        </x:is>
      </x:c>
      <x:c r="AB128" s="5" t="inlineStr">
        <x:is>
          <x:t xml:space="preserve"/>
        </x:is>
      </x:c>
      <x:c r="AC128" s="5" t="inlineStr">
        <x:is>
          <x:t xml:space="preserve">OpenAI practical guidance includes creative ideation; creator surveys show broad use of generative AI in creative workflows.</x:t>
        </x:is>
      </x:c>
      <x:c r="AD128" s="5" t="inlineStr">
        <x:is>
          <x:t xml:space="preserve">OpenAI How People Use ChatGPT paper; Adobe creators survey 2025; Wondercraft/Digiday creator workflow survey 2025</x:t>
        </x:is>
      </x:c>
      <x:c r="AE128" s="11">
        <x:f>IF(O128="High",20,IF(O128="Medium",10,IF(O128="Low",5,0)))+IF(P128="High",20,IF(P128="Medium",10,IF(P128="Low",5,0)))+IF(Q128="High",20,IF(Q128="Medium",10,IF(Q128="Low",5,0)))+IF(R128="High",20,IF(R128="Medium",10,IF(R128="Low",5,0)))+IF(S128="High",20,IF(S128="Medium",10,IF(S128="Low",5,0)))</x:f>
        <x:v>30</x:v>
      </x:c>
      <x:c r="AF128" s="12">
        <x:f>ROUND(H128*0.30+J128*0.25+K128*0.20+(100-AE128)*0.10+(100-(V128*20))*0.15,0)</x:f>
        <x:v>68</x:v>
      </x:c>
      <x:c r="AG128" s="13" t="str">
        <x:f>IF(AF128&gt;=80,"Batch 1",IF(AF128&gt;=70,"Batch 2",IF(AF128&gt;=60,"Batch 3","Backlog")))</x:f>
        <x:v>Batch 3</x:v>
      </x:c>
      <x:c r="AH128" t="inlineStr">
        <x:is>
          <x:t xml:space="preserve"/>
        </x:is>
      </x:c>
    </x:row>
    <x:row r="129">
      <x:c r="A129" s="5" t="inlineStr">
        <x:is>
          <x:t xml:space="preserve">GPO-TRA-10</x:t>
        </x:is>
      </x:c>
      <x:c r="B129" s="5" t="n">
        <x:v>125</x:v>
      </x:c>
      <x:c r="C129" s="5" t="inlineStr">
        <x:is>
          <x:t xml:space="preserve">Travel &amp; Relocation Planner</x:t>
        </x:is>
      </x:c>
      <x:c r="D129" s="5" t="inlineStr">
        <x:is>
          <x:t xml:space="preserve">Move</x:t>
        </x:is>
      </x:c>
      <x:c r="E129" s="5" t="inlineStr">
        <x:is>
          <x:t xml:space="preserve">Core 150</x:t>
        </x:is>
      </x:c>
      <x:c r="F129" s="5" t="n">
        <x:v>10</x:v>
      </x:c>
      <x:c r="G129" s="5" t="inlineStr">
        <x:is>
          <x:t xml:space="preserve">Plan a road trip route with stops, driving times, and backup options.</x:t>
        </x:is>
      </x:c>
      <x:c r="H129" s="6" t="n">
        <x:v>57</x:v>
      </x:c>
      <x:c r="I129" s="6" t="n">
        <x:v>57</x:v>
      </x:c>
      <x:c r="J129" s="7" t="n">
        <x:v>76</x:v>
      </x:c>
      <x:c r="K129" s="7" t="n">
        <x:v>66</x:v>
      </x:c>
      <x:c r="L129" s="8" t="inlineStr">
        <x:is>
          <x:t xml:space="preserve">UNTESTED</x:t>
        </x:is>
      </x:c>
      <x:c r="M129" s="9" t="inlineStr">
        <x:is>
          <x:t xml:space="preserve">UNTESTED</x:t>
        </x:is>
      </x:c>
      <x:c r="N129" s="5" t="inlineStr">
        <x:is>
          <x:t xml:space="preserve">travel research; itinerary planning; logistics reasoning; contingency planning</x:t>
        </x:is>
      </x:c>
      <x:c r="O129" s="5" t="inlineStr">
        <x:is>
          <x:t xml:space="preserve">High</x:t>
        </x:is>
      </x:c>
      <x:c r="P129" s="5" t="inlineStr">
        <x:is>
          <x:t xml:space="preserve">Medium</x:t>
        </x:is>
      </x:c>
      <x:c r="Q129" s="5" t="inlineStr">
        <x:is>
          <x:t xml:space="preserve">Medium</x:t>
        </x:is>
      </x:c>
      <x:c r="R129" s="5" t="inlineStr">
        <x:is>
          <x:t xml:space="preserve">Low</x:t>
        </x:is>
      </x:c>
      <x:c r="S129" s="5" t="inlineStr">
        <x:is>
          <x:t xml:space="preserve">Low</x:t>
        </x:is>
      </x:c>
      <x:c r="T129" s="5" t="inlineStr">
        <x:is>
          <x:t xml:space="preserve">ChatGPT with web; maps/calendar later</x:t>
        </x:is>
      </x:c>
      <x:c r="U129" s="5" t="inlineStr">
        <x:is>
          <x:t xml:space="preserve">Easy</x:t>
        </x:is>
      </x:c>
      <x:c r="V129" s="10" t="n">
        <x:v>1</x:v>
      </x:c>
      <x:c r="W129" s="5" t="inlineStr">
        <x:is>
          <x:t xml:space="preserve">Live trip planning + feasibility review</x:t>
        </x:is>
      </x:c>
      <x:c r="X129" s="5" t="inlineStr">
        <x:is>
          <x:t xml:space="preserve">itinerary / relocation plan / checklist</x:t>
        </x:is>
      </x:c>
      <x:c r="Y129" s="5" t="inlineStr">
        <x:is>
          <x:t xml:space="preserve">Plan is current, geographically sensible, and tuned to budget/constraints.</x:t>
        </x:is>
      </x:c>
      <x:c r="Z129" s="5" t="inlineStr">
        <x:is>
          <x:t xml:space="preserve">Bad logistics, stale info, wrong timing, or generic travel advice.</x:t>
        </x:is>
      </x:c>
      <x:c r="AA129" s="5" t="inlineStr">
        <x:is>
          <x:t xml:space="preserve">travel templates / web + mapping integration / logistics engine</x:t>
        </x:is>
      </x:c>
      <x:c r="AB129" s="5" t="inlineStr">
        <x:is>
          <x:t xml:space="preserve"/>
        </x:is>
      </x:c>
      <x:c r="AC12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29" s="5" t="inlineStr">
        <x:is>
          <x:t xml:space="preserve">Deloitte Connected Consumer 2025; Adobe travel planning 2025</x:t>
        </x:is>
      </x:c>
      <x:c r="AE129" s="11">
        <x:f>IF(O129="High",20,IF(O129="Medium",10,IF(O129="Low",5,0)))+IF(P129="High",20,IF(P129="Medium",10,IF(P129="Low",5,0)))+IF(Q129="High",20,IF(Q129="Medium",10,IF(Q129="Low",5,0)))+IF(R129="High",20,IF(R129="Medium",10,IF(R129="Low",5,0)))+IF(S129="High",20,IF(S129="Medium",10,IF(S129="Low",5,0)))</x:f>
        <x:v>50</x:v>
      </x:c>
      <x:c r="AF129" s="12">
        <x:f>ROUND(H129*0.30+J129*0.25+K129*0.20+(100-AE129)*0.10+(100-(V129*20))*0.15,0)</x:f>
        <x:v>66</x:v>
      </x:c>
      <x:c r="AG129" s="13" t="str">
        <x:f>IF(AF129&gt;=80,"Batch 1",IF(AF129&gt;=70,"Batch 2",IF(AF129&gt;=60,"Batch 3","Backlog")))</x:f>
        <x:v>Batch 3</x:v>
      </x:c>
      <x:c r="AH129" t="inlineStr">
        <x:is>
          <x:t xml:space="preserve"/>
        </x:is>
      </x:c>
    </x:row>
    <x:row r="130">
      <x:c r="A130" s="5" t="inlineStr">
        <x:is>
          <x:t xml:space="preserve">GPO-WRI-18</x:t>
        </x:is>
      </x:c>
      <x:c r="B130" s="5" t="n">
        <x:v>126</x:v>
      </x:c>
      <x:c r="C130" s="5" t="inlineStr">
        <x:is>
          <x:t xml:space="preserve">Writing &amp; Documentation</x:t>
        </x:is>
      </x:c>
      <x:c r="D130" s="5" t="inlineStr">
        <x:is>
          <x:t xml:space="preserve">Create</x:t>
        </x:is>
      </x:c>
      <x:c r="E130" s="5" t="inlineStr">
        <x:is>
          <x:t xml:space="preserve">Expansion 150</x:t>
        </x:is>
      </x:c>
      <x:c r="F130" s="5" t="n">
        <x:v>18</x:v>
      </x:c>
      <x:c r="G130" s="5" t="inlineStr">
        <x:is>
          <x:t xml:space="preserve">Condense this strategy into an Apple Notes-friendly version I can actually use.</x:t>
        </x:is>
      </x:c>
      <x:c r="H130" s="6" t="n">
        <x:v>54</x:v>
      </x:c>
      <x:c r="I130" s="6" t="n">
        <x:v>54</x:v>
      </x:c>
      <x:c r="J130" s="7" t="n">
        <x:v>80</x:v>
      </x:c>
      <x:c r="K130" s="7" t="n">
        <x:v>66</x:v>
      </x:c>
      <x:c r="L130" s="8" t="inlineStr">
        <x:is>
          <x:t xml:space="preserve">UNTESTED</x:t>
        </x:is>
      </x:c>
      <x:c r="M130" s="9" t="inlineStr">
        <x:is>
          <x:t xml:space="preserve">UNTESTED</x:t>
        </x:is>
      </x:c>
      <x:c r="N130" s="5" t="inlineStr">
        <x:is>
          <x:t xml:space="preserve">writing quality; summarization; style control; structured artifacts</x:t>
        </x:is>
      </x:c>
      <x:c r="O130" s="5" t="inlineStr">
        <x:is>
          <x:t xml:space="preserve">Low</x:t>
        </x:is>
      </x:c>
      <x:c r="P130" s="5" t="inlineStr">
        <x:is>
          <x:t xml:space="preserve">Medium</x:t>
        </x:is>
      </x:c>
      <x:c r="Q130" s="5" t="inlineStr">
        <x:is>
          <x:t xml:space="preserve">Low</x:t>
        </x:is>
      </x:c>
      <x:c r="R130" s="5" t="inlineStr">
        <x:is>
          <x:t xml:space="preserve">Low</x:t>
        </x:is>
      </x:c>
      <x:c r="S130" s="5" t="inlineStr">
        <x:is>
          <x:t xml:space="preserve">Low</x:t>
        </x:is>
      </x:c>
      <x:c r="T130" s="5" t="inlineStr">
        <x:is>
          <x:t xml:space="preserve">ChatGPT or Claude; human review optional</x:t>
        </x:is>
      </x:c>
      <x:c r="U130" s="5" t="inlineStr">
        <x:is>
          <x:t xml:space="preserve">Easy</x:t>
        </x:is>
      </x:c>
      <x:c r="V130" s="10" t="n">
        <x:v>1</x:v>
      </x:c>
      <x:c r="W130" s="5" t="inlineStr">
        <x:is>
          <x:t xml:space="preserve">Prompt execution + artifact quality review</x:t>
        </x:is>
      </x:c>
      <x:c r="X130" s="5" t="inlineStr">
        <x:is>
          <x:t xml:space="preserve">doc / memo / email / FAQ / summary</x:t>
        </x:is>
      </x:c>
      <x:c r="Y130" s="5" t="inlineStr">
        <x:is>
          <x:t xml:space="preserve">Output is clear, tailored, structurally sound, and immediately usable.</x:t>
        </x:is>
      </x:c>
      <x:c r="Z130" s="5" t="inlineStr">
        <x:is>
          <x:t xml:space="preserve">Generic tone, missing context, weak structure, or wrong audience level.</x:t>
        </x:is>
      </x:c>
      <x:c r="AA130" s="5" t="inlineStr">
        <x:is>
          <x:t xml:space="preserve">prompt pack / style guidance / output schema</x:t>
        </x:is>
      </x:c>
      <x:c r="AB130" s="5" t="inlineStr">
        <x:is>
          <x:t xml:space="preserve"/>
        </x:is>
      </x:c>
      <x:c r="AC130" s="5" t="inlineStr">
        <x:is>
          <x:t xml:space="preserve">OpenAI usage paper: Writing is in top 3 categories; Menlo consumer AI says 19% use AI to write emails and 18% get writing support.</x:t>
        </x:is>
      </x:c>
      <x:c r="AD130" s="5" t="inlineStr">
        <x:is>
          <x:t xml:space="preserve">OpenAI How People Use ChatGPT paper; Menlo State of Consumer AI 2025</x:t>
        </x:is>
      </x:c>
      <x:c r="AE130" s="11">
        <x:f>IF(O130="High",20,IF(O130="Medium",10,IF(O130="Low",5,0)))+IF(P130="High",20,IF(P130="Medium",10,IF(P130="Low",5,0)))+IF(Q130="High",20,IF(Q130="Medium",10,IF(Q130="Low",5,0)))+IF(R130="High",20,IF(R130="Medium",10,IF(R130="Low",5,0)))+IF(S130="High",20,IF(S130="Medium",10,IF(S130="Low",5,0)))</x:f>
        <x:v>30</x:v>
      </x:c>
      <x:c r="AF130" s="12">
        <x:f>ROUND(H130*0.30+J130*0.25+K130*0.20+(100-AE130)*0.10+(100-(V130*20))*0.15,0)</x:f>
        <x:v>68</x:v>
      </x:c>
      <x:c r="AG130" s="13" t="str">
        <x:f>IF(AF130&gt;=80,"Batch 1",IF(AF130&gt;=70,"Batch 2",IF(AF130&gt;=60,"Batch 3","Backlog")))</x:f>
        <x:v>Batch 3</x:v>
      </x:c>
      <x:c r="AH130" t="inlineStr">
        <x:is>
          <x:t xml:space="preserve"/>
        </x:is>
      </x:c>
    </x:row>
    <x:row r="131">
      <x:c r="A131" s="5" t="inlineStr">
        <x:is>
          <x:t xml:space="preserve">GPO-CAR-08</x:t>
        </x:is>
      </x:c>
      <x:c r="B131" s="5" t="n">
        <x:v>127</x:v>
      </x:c>
      <x:c r="C131" s="5" t="inlineStr">
        <x:is>
          <x:t xml:space="preserve">Career &amp; Job Search</x:t>
        </x:is>
      </x:c>
      <x:c r="D131" s="5" t="inlineStr">
        <x:is>
          <x:t xml:space="preserve">Advance</x:t>
        </x:is>
      </x:c>
      <x:c r="E131" s="5" t="inlineStr">
        <x:is>
          <x:t xml:space="preserve">Core 150</x:t>
        </x:is>
      </x:c>
      <x:c r="F131" s="5" t="n">
        <x:v>8</x:v>
      </x:c>
      <x:c r="G131" s="5" t="inlineStr">
        <x:is>
          <x:t xml:space="preserve">Help me negotiate compensation, title, or scope without sounding naive.</x:t>
        </x:is>
      </x:c>
      <x:c r="H131" s="6" t="n">
        <x:v>55</x:v>
      </x:c>
      <x:c r="I131" s="6" t="n">
        <x:v>55</x:v>
      </x:c>
      <x:c r="J131" s="7" t="n">
        <x:v>78</x:v>
      </x:c>
      <x:c r="K131" s="7" t="n">
        <x:v>65</x:v>
      </x:c>
      <x:c r="L131" s="8" t="inlineStr">
        <x:is>
          <x:t xml:space="preserve">UNTESTED</x:t>
        </x:is>
      </x:c>
      <x:c r="M131" s="9" t="inlineStr">
        <x:is>
          <x:t xml:space="preserve">UNTESTED</x:t>
        </x:is>
      </x:c>
      <x:c r="N131" s="5" t="inlineStr">
        <x:is>
          <x:t xml:space="preserve">resume tailoring; interview prep; role mapping; narrative building</x:t>
        </x:is>
      </x:c>
      <x:c r="O131" s="5" t="inlineStr">
        <x:is>
          <x:t xml:space="preserve">Medium</x:t>
        </x:is>
      </x:c>
      <x:c r="P131" s="5" t="inlineStr">
        <x:is>
          <x:t xml:space="preserve">High</x:t>
        </x:is>
      </x:c>
      <x:c r="Q131" s="5" t="inlineStr">
        <x:is>
          <x:t xml:space="preserve">Low</x:t>
        </x:is>
      </x:c>
      <x:c r="R131" s="5" t="inlineStr">
        <x:is>
          <x:t xml:space="preserve">Low</x:t>
        </x:is>
      </x:c>
      <x:c r="S131" s="5" t="inlineStr">
        <x:is>
          <x:t xml:space="preserve">Low</x:t>
        </x:is>
      </x:c>
      <x:c r="T131" s="5" t="inlineStr">
        <x:is>
          <x:t xml:space="preserve">ChatGPT primary</x:t>
        </x:is>
      </x:c>
      <x:c r="U131" s="5" t="inlineStr">
        <x:is>
          <x:t xml:space="preserve">Easy</x:t>
        </x:is>
      </x:c>
      <x:c r="V131" s="10" t="n">
        <x:v>1</x:v>
      </x:c>
      <x:c r="W131" s="5" t="inlineStr">
        <x:is>
          <x:t xml:space="preserve">Artifact review + mock interview + targeting review</x:t>
        </x:is>
      </x:c>
      <x:c r="X131" s="5" t="inlineStr">
        <x:is>
          <x:t xml:space="preserve">resume / prep plan / outreach / strategy memo</x:t>
        </x:is>
      </x:c>
      <x:c r="Y131" s="5" t="inlineStr">
        <x:is>
          <x:t xml:space="preserve">Career outputs are specific, credible, and materially improve positioning.</x:t>
        </x:is>
      </x:c>
      <x:c r="Z131" s="5" t="inlineStr">
        <x:is>
          <x:t xml:space="preserve">Generic resume language, fake-sounding stories, or weak role fit.</x:t>
        </x:is>
      </x:c>
      <x:c r="AA131" s="5" t="inlineStr">
        <x:is>
          <x:t xml:space="preserve">career templates / memory / ATS-aware output logic</x:t>
        </x:is>
      </x:c>
      <x:c r="AB131" s="5" t="inlineStr">
        <x:is>
          <x:t xml:space="preserve"/>
        </x:is>
      </x:c>
      <x:c r="AC131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31" s="5" t="inlineStr">
        <x:is>
          <x:t xml:space="preserve">Insight Global AI in Hiring Report 2025; NACE student survey 2025/2026</x:t>
        </x:is>
      </x:c>
      <x:c r="AE131" s="11">
        <x:f>IF(O131="High",20,IF(O131="Medium",10,IF(O131="Low",5,0)))+IF(P131="High",20,IF(P131="Medium",10,IF(P131="Low",5,0)))+IF(Q131="High",20,IF(Q131="Medium",10,IF(Q131="Low",5,0)))+IF(R131="High",20,IF(R131="Medium",10,IF(R131="Low",5,0)))+IF(S131="High",20,IF(S131="Medium",10,IF(S131="Low",5,0)))</x:f>
        <x:v>45</x:v>
      </x:c>
      <x:c r="AF131" s="12">
        <x:f>ROUND(H131*0.30+J131*0.25+K131*0.20+(100-AE131)*0.10+(100-(V131*20))*0.15,0)</x:f>
        <x:v>67</x:v>
      </x:c>
      <x:c r="AG131" s="13" t="str">
        <x:f>IF(AF131&gt;=80,"Batch 1",IF(AF131&gt;=70,"Batch 2",IF(AF131&gt;=60,"Batch 3","Backlog")))</x:f>
        <x:v>Batch 3</x:v>
      </x:c>
      <x:c r="AH131" t="inlineStr">
        <x:is>
          <x:t xml:space="preserve"/>
        </x:is>
      </x:c>
    </x:row>
    <x:row r="132">
      <x:c r="A132" s="5" t="inlineStr">
        <x:is>
          <x:t xml:space="preserve">GPO-COD-18</x:t>
        </x:is>
      </x:c>
      <x:c r="B132" s="5" t="n">
        <x:v>128</x:v>
      </x:c>
      <x:c r="C132" s="5" t="inlineStr">
        <x:is>
          <x:t xml:space="preserve">Code &amp; Product Engineering</x:t>
        </x:is>
      </x:c>
      <x:c r="D132" s="5" t="inlineStr">
        <x:is>
          <x:t xml:space="preserve">Build</x:t>
        </x:is>
      </x:c>
      <x:c r="E132" s="5" t="inlineStr">
        <x:is>
          <x:t xml:space="preserve">Expansion 150</x:t>
        </x:is>
      </x:c>
      <x:c r="F132" s="5" t="n">
        <x:v>18</x:v>
      </x:c>
      <x:c r="G132" s="5" t="inlineStr">
        <x:is>
          <x:t xml:space="preserve">Turn this rough product idea into a technical roadmap with milestones and dependencies.</x:t>
        </x:is>
      </x:c>
      <x:c r="H132" s="6" t="n">
        <x:v>55</x:v>
      </x:c>
      <x:c r="I132" s="6" t="n">
        <x:v>55</x:v>
      </x:c>
      <x:c r="J132" s="7" t="n">
        <x:v>78</x:v>
      </x:c>
      <x:c r="K132" s="7" t="n">
        <x:v>65</x:v>
      </x:c>
      <x:c r="L132" s="8" t="inlineStr">
        <x:is>
          <x:t xml:space="preserve">UNTESTED</x:t>
        </x:is>
      </x:c>
      <x:c r="M132" s="9" t="inlineStr">
        <x:is>
          <x:t xml:space="preserve">UNTESTED</x:t>
        </x:is>
      </x:c>
      <x:c r="N132" s="5" t="inlineStr">
        <x:is>
          <x:t xml:space="preserve">routing; code reasoning; repo context; file edit; test execution; structured output</x:t>
        </x:is>
      </x:c>
      <x:c r="O132" s="5" t="inlineStr">
        <x:is>
          <x:t xml:space="preserve">No</x:t>
        </x:is>
      </x:c>
      <x:c r="P132" s="5" t="inlineStr">
        <x:is>
          <x:t xml:space="preserve">Medium</x:t>
        </x:is>
      </x:c>
      <x:c r="Q132" s="5" t="inlineStr">
        <x:is>
          <x:t xml:space="preserve">High</x:t>
        </x:is>
      </x:c>
      <x:c r="R132" s="5" t="inlineStr">
        <x:is>
          <x:t xml:space="preserve">Medium</x:t>
        </x:is>
      </x:c>
      <x:c r="S132" s="5" t="inlineStr">
        <x:is>
          <x:t xml:space="preserve">Low</x:t>
        </x:is>
      </x:c>
      <x:c r="T132" s="5" t="inlineStr">
        <x:is>
          <x:t xml:space="preserve">Claude Code primary; ChatGPT critique; web optional</x:t>
        </x:is>
      </x:c>
      <x:c r="U132" s="5" t="inlineStr">
        <x:is>
          <x:t xml:space="preserve">Medium</x:t>
        </x:is>
      </x:c>
      <x:c r="V132" s="10" t="n">
        <x:v>2</x:v>
      </x:c>
      <x:c r="W132" s="5" t="inlineStr">
        <x:is>
          <x:t xml:space="preserve">Live execution + code diff + output review</x:t>
        </x:is>
      </x:c>
      <x:c r="X132" s="5" t="inlineStr">
        <x:is>
          <x:t xml:space="preserve">code patch / spec / architecture / debug report</x:t>
        </x:is>
      </x:c>
      <x:c r="Y132" s="5" t="inlineStr">
        <x:is>
          <x:t xml:space="preserve">Produces correct technical plan or working code without breaking current behavior.</x:t>
        </x:is>
      </x:c>
      <x:c r="Z132" s="5" t="inlineStr">
        <x:is>
          <x:t xml:space="preserve">Hallucinated codebase facts, unsafe refactor, broken tests, or vague technical output.</x:t>
        </x:is>
      </x:c>
      <x:c r="AA132" s="5" t="inlineStr">
        <x:is>
          <x:t xml:space="preserve">routing / tool wiring / repo context / codegen guardrails</x:t>
        </x:is>
      </x:c>
      <x:c r="AB132" s="5" t="inlineStr">
        <x:is>
          <x:t xml:space="preserve"/>
        </x:is>
      </x:c>
      <x:c r="AC132" s="5" t="inlineStr">
        <x:is>
          <x:t xml:space="preserve">OpenAI/common use: writing+coding; Menlo enterprise coding is 55% of departmental AI spend; Deloitte top app: work assistance.</x:t>
        </x:is>
      </x:c>
      <x:c r="AD132" s="5" t="inlineStr">
        <x:is>
          <x:t xml:space="preserve">OpenAI GPT-5 / How People Use ChatGPT; Menlo State of GenAI in Enterprise 2025; Deloitte Connected Consumer 2025</x:t>
        </x:is>
      </x:c>
      <x:c r="AE132" s="11">
        <x:f>IF(O132="High",20,IF(O132="Medium",10,IF(O132="Low",5,0)))+IF(P132="High",20,IF(P132="Medium",10,IF(P132="Low",5,0)))+IF(Q132="High",20,IF(Q132="Medium",10,IF(Q132="Low",5,0)))+IF(R132="High",20,IF(R132="Medium",10,IF(R132="Low",5,0)))+IF(S132="High",20,IF(S132="Medium",10,IF(S132="Low",5,0)))</x:f>
        <x:v>45</x:v>
      </x:c>
      <x:c r="AF132" s="12">
        <x:f>ROUND(H132*0.30+J132*0.25+K132*0.20+(100-AE132)*0.10+(100-(V132*20))*0.15,0)</x:f>
        <x:v>64</x:v>
      </x:c>
      <x:c r="AG132" s="13" t="str">
        <x:f>IF(AF132&gt;=80,"Batch 1",IF(AF132&gt;=70,"Batch 2",IF(AF132&gt;=60,"Batch 3","Backlog")))</x:f>
        <x:v>Batch 3</x:v>
      </x:c>
      <x:c r="AH132" t="inlineStr">
        <x:is>
          <x:t xml:space="preserve"/>
        </x:is>
      </x:c>
    </x:row>
    <x:row r="133">
      <x:c r="A133" s="5" t="inlineStr">
        <x:is>
          <x:t xml:space="preserve">GPO-LEA-16</x:t>
        </x:is>
      </x:c>
      <x:c r="B133" s="5" t="n">
        <x:v>129</x:v>
      </x:c>
      <x:c r="C133" s="5" t="inlineStr">
        <x:is>
          <x:t xml:space="preserve">Learning &amp; Tutoring</x:t>
        </x:is>
      </x:c>
      <x:c r="D133" s="5" t="inlineStr">
        <x:is>
          <x:t xml:space="preserve">Grow</x:t>
        </x:is>
      </x:c>
      <x:c r="E133" s="5" t="inlineStr">
        <x:is>
          <x:t xml:space="preserve">Expansion 150</x:t>
        </x:is>
      </x:c>
      <x:c r="F133" s="5" t="n">
        <x:v>16</x:v>
      </x:c>
      <x:c r="G133" s="5" t="inlineStr">
        <x:is>
          <x:t xml:space="preserve">Help me learn by doing: build a project-based curriculum for {topic}.</x:t>
        </x:is>
      </x:c>
      <x:c r="H133" s="6" t="n">
        <x:v>55</x:v>
      </x:c>
      <x:c r="I133" s="6" t="n">
        <x:v>55</x:v>
      </x:c>
      <x:c r="J133" s="7" t="n">
        <x:v>78</x:v>
      </x:c>
      <x:c r="K133" s="7" t="n">
        <x:v>65</x:v>
      </x:c>
      <x:c r="L133" s="8" t="inlineStr">
        <x:is>
          <x:t xml:space="preserve">UNTESTED</x:t>
        </x:is>
      </x:c>
      <x:c r="M133" s="9" t="inlineStr">
        <x:is>
          <x:t xml:space="preserve">UNTESTED</x:t>
        </x:is>
      </x:c>
      <x:c r="N133" s="5" t="inlineStr">
        <x:is>
          <x:t xml:space="preserve">adaptive tutoring; curriculum planning; quiz generation; context retention</x:t>
        </x:is>
      </x:c>
      <x:c r="O133" s="5" t="inlineStr">
        <x:is>
          <x:t xml:space="preserve">Low</x:t>
        </x:is>
      </x:c>
      <x:c r="P133" s="5" t="inlineStr">
        <x:is>
          <x:t xml:space="preserve">High</x:t>
        </x:is>
      </x:c>
      <x:c r="Q133" s="5" t="inlineStr">
        <x:is>
          <x:t xml:space="preserve">Low</x:t>
        </x:is>
      </x:c>
      <x:c r="R133" s="5" t="inlineStr">
        <x:is>
          <x:t xml:space="preserve">Low</x:t>
        </x:is>
      </x:c>
      <x:c r="S133" s="5" t="inlineStr">
        <x:is>
          <x:t xml:space="preserve">Low</x:t>
        </x:is>
      </x:c>
      <x:c r="T133" s="5" t="inlineStr">
        <x:is>
          <x:t xml:space="preserve">ChatGPT primary</x:t>
        </x:is>
      </x:c>
      <x:c r="U133" s="5" t="inlineStr">
        <x:is>
          <x:t xml:space="preserve">Easy</x:t>
        </x:is>
      </x:c>
      <x:c r="V133" s="10" t="n">
        <x:v>1</x:v>
      </x:c>
      <x:c r="W133" s="5" t="inlineStr">
        <x:is>
          <x:t xml:space="preserve">Interactive tutoring session + quality review</x:t>
        </x:is>
      </x:c>
      <x:c r="X133" s="5" t="inlineStr">
        <x:is>
          <x:t xml:space="preserve">lesson / plan / quiz / explanation</x:t>
        </x:is>
      </x:c>
      <x:c r="Y133" s="5" t="inlineStr">
        <x:is>
          <x:t xml:space="preserve">Teaching is accurate, adaptive, and improves understanding rather than over-answering.</x:t>
        </x:is>
      </x:c>
      <x:c r="Z133" s="5" t="inlineStr">
        <x:is>
          <x:t xml:space="preserve">Wrong explanations, over-helping, no adaptation, or generic curriculum.</x:t>
        </x:is>
      </x:c>
      <x:c r="AA133" s="5" t="inlineStr">
        <x:is>
          <x:t xml:space="preserve">tutor mode / memory / scaffolding logic</x:t>
        </x:is>
      </x:c>
      <x:c r="AB133" s="5" t="inlineStr">
        <x:is>
          <x:t xml:space="preserve"/>
        </x:is>
      </x:c>
      <x:c r="AC133" s="5" t="inlineStr">
        <x:is>
          <x:t xml:space="preserve">OpenAI practical guidance includes tutoring; HEPI 2025 says 88% of students use GenAI for assessments, often to explain concepts and summarize articles.</x:t>
        </x:is>
      </x:c>
      <x:c r="AD133" s="5" t="inlineStr">
        <x:is>
          <x:t xml:space="preserve">OpenAI How People Use ChatGPT paper; HEPI Student Generative AI Survey 2025; Brookings 2026 tutoring article</x:t>
        </x:is>
      </x:c>
      <x:c r="AE133" s="11">
        <x:f>IF(O133="High",20,IF(O133="Medium",10,IF(O133="Low",5,0)))+IF(P133="High",20,IF(P133="Medium",10,IF(P133="Low",5,0)))+IF(Q133="High",20,IF(Q133="Medium",10,IF(Q133="Low",5,0)))+IF(R133="High",20,IF(R133="Medium",10,IF(R133="Low",5,0)))+IF(S133="High",20,IF(S133="Medium",10,IF(S133="Low",5,0)))</x:f>
        <x:v>40</x:v>
      </x:c>
      <x:c r="AF133" s="12">
        <x:f>ROUND(H133*0.30+J133*0.25+K133*0.20+(100-AE133)*0.10+(100-(V133*20))*0.15,0)</x:f>
        <x:v>67</x:v>
      </x:c>
      <x:c r="AG133" s="13" t="str">
        <x:f>IF(AF133&gt;=80,"Batch 1",IF(AF133&gt;=70,"Batch 2",IF(AF133&gt;=60,"Batch 3","Backlog")))</x:f>
        <x:v>Batch 3</x:v>
      </x:c>
      <x:c r="AH133" t="inlineStr">
        <x:is>
          <x:t xml:space="preserve"/>
        </x:is>
      </x:c>
    </x:row>
    <x:row r="134">
      <x:c r="A134" s="5" t="inlineStr">
        <x:is>
          <x:t xml:space="preserve">GPO-RES-16</x:t>
        </x:is>
      </x:c>
      <x:c r="B134" s="5" t="n">
        <x:v>130</x:v>
      </x:c>
      <x:c r="C134" s="5" t="inlineStr">
        <x:is>
          <x:t xml:space="preserve">Research &amp; Analysis</x:t>
        </x:is>
      </x:c>
      <x:c r="D134" s="5" t="inlineStr">
        <x:is>
          <x:t xml:space="preserve">Think</x:t>
        </x:is>
      </x:c>
      <x:c r="E134" s="5" t="inlineStr">
        <x:is>
          <x:t xml:space="preserve">Expansion 150</x:t>
        </x:is>
      </x:c>
      <x:c r="F134" s="5" t="n">
        <x:v>16</x:v>
      </x:c>
      <x:c r="G134" s="5" t="inlineStr">
        <x:is>
          <x:t xml:space="preserve">Analyze current sentiment, risks, and opportunities around {trend_or_company}.</x:t>
        </x:is>
      </x:c>
      <x:c r="H134" s="6" t="n">
        <x:v>56</x:v>
      </x:c>
      <x:c r="I134" s="6" t="n">
        <x:v>56</x:v>
      </x:c>
      <x:c r="J134" s="7" t="n">
        <x:v>76</x:v>
      </x:c>
      <x:c r="K134" s="7" t="n">
        <x:v>65</x:v>
      </x:c>
      <x:c r="L134" s="8" t="inlineStr">
        <x:is>
          <x:t xml:space="preserve">UNTESTED</x:t>
        </x:is>
      </x:c>
      <x:c r="M134" s="9" t="inlineStr">
        <x:is>
          <x:t xml:space="preserve">UNTESTED</x:t>
        </x:is>
      </x:c>
      <x:c r="N134" s="5" t="inlineStr">
        <x:is>
          <x:t xml:space="preserve">web research; synthesis; citation discipline; decision framing</x:t>
        </x:is>
      </x:c>
      <x:c r="O134" s="5" t="inlineStr">
        <x:is>
          <x:t xml:space="preserve">High</x:t>
        </x:is>
      </x:c>
      <x:c r="P134" s="5" t="inlineStr">
        <x:is>
          <x:t xml:space="preserve">Medium</x:t>
        </x:is>
      </x:c>
      <x:c r="Q134" s="5" t="inlineStr">
        <x:is>
          <x:t xml:space="preserve">Medium</x:t>
        </x:is>
      </x:c>
      <x:c r="R134" s="5" t="inlineStr">
        <x:is>
          <x:t xml:space="preserve">Medium</x:t>
        </x:is>
      </x:c>
      <x:c r="S134" s="5" t="inlineStr">
        <x:is>
          <x:t xml:space="preserve">Low</x:t>
        </x:is>
      </x:c>
      <x:c r="T134" s="5" t="inlineStr">
        <x:is>
          <x:t xml:space="preserve">ChatGPT with web; Claude for synthesis</x:t>
        </x:is>
      </x:c>
      <x:c r="U134" s="5" t="inlineStr">
        <x:is>
          <x:t xml:space="preserve">Easy</x:t>
        </x:is>
      </x:c>
      <x:c r="V134" s="10" t="n">
        <x:v>1</x:v>
      </x:c>
      <x:c r="W134" s="5" t="inlineStr">
        <x:is>
          <x:t xml:space="preserve">Live research + source validation + recommendation review</x:t>
        </x:is>
      </x:c>
      <x:c r="X134" s="5" t="inlineStr">
        <x:is>
          <x:t xml:space="preserve">brief / comparison / decision memo / risk analysis</x:t>
        </x:is>
      </x:c>
      <x:c r="Y134" s="5" t="inlineStr">
        <x:is>
          <x:t xml:space="preserve">Accurate synthesis with evidence, tradeoffs, and a concrete recommendation.</x:t>
        </x:is>
      </x:c>
      <x:c r="Z134" s="5" t="inlineStr">
        <x:is>
          <x:t xml:space="preserve">Stale facts, no citations, weak reasoning, or surface-level synthesis.</x:t>
        </x:is>
      </x:c>
      <x:c r="AA134" s="5" t="inlineStr">
        <x:is>
          <x:t xml:space="preserve">web integration / citation enforcement / analysis rubric</x:t>
        </x:is>
      </x:c>
      <x:c r="AB134" s="5" t="inlineStr">
        <x:is>
          <x:t xml:space="preserve"/>
        </x:is>
      </x:c>
      <x:c r="AC134" s="5" t="inlineStr">
        <x:is>
          <x:t xml:space="preserve">OpenAI usage paper: Seeking Information is in top 3 categories; work/advice/search are common across Deloitte and OpenAI.</x:t>
        </x:is>
      </x:c>
      <x:c r="AD134" s="5" t="inlineStr">
        <x:is>
          <x:t xml:space="preserve">OpenAI How People Use ChatGPT paper; Deloitte Connected Consumer 2025</x:t>
        </x:is>
      </x:c>
      <x:c r="AE134" s="11">
        <x:f>IF(O134="High",20,IF(O134="Medium",10,IF(O134="Low",5,0)))+IF(P134="High",20,IF(P134="Medium",10,IF(P134="Low",5,0)))+IF(Q134="High",20,IF(Q134="Medium",10,IF(Q134="Low",5,0)))+IF(R134="High",20,IF(R134="Medium",10,IF(R134="Low",5,0)))+IF(S134="High",20,IF(S134="Medium",10,IF(S134="Low",5,0)))</x:f>
        <x:v>55</x:v>
      </x:c>
      <x:c r="AF134" s="12">
        <x:f>ROUND(H134*0.30+J134*0.25+K134*0.20+(100-AE134)*0.10+(100-(V134*20))*0.15,0)</x:f>
        <x:v>65</x:v>
      </x:c>
      <x:c r="AG134" s="13" t="str">
        <x:f>IF(AF134&gt;=80,"Batch 1",IF(AF134&gt;=70,"Batch 2",IF(AF134&gt;=60,"Batch 3","Backlog")))</x:f>
        <x:v>Batch 3</x:v>
      </x:c>
      <x:c r="AH134" t="inlineStr">
        <x:is>
          <x:t xml:space="preserve"/>
        </x:is>
      </x:c>
    </x:row>
    <x:row r="135">
      <x:c r="A135" s="5" t="inlineStr">
        <x:is>
          <x:t xml:space="preserve">GPO-SCH-14</x:t>
        </x:is>
      </x:c>
      <x:c r="B135" s="5" t="n">
        <x:v>131</x:v>
      </x:c>
      <x:c r="C135" s="5" t="inlineStr">
        <x:is>
          <x:t xml:space="preserve">Scheduling &amp; Life Operations</x:t>
        </x:is>
      </x:c>
      <x:c r="D135" s="5" t="inlineStr">
        <x:is>
          <x:t xml:space="preserve">Operate</x:t>
        </x:is>
      </x:c>
      <x:c r="E135" s="5" t="inlineStr">
        <x:is>
          <x:t xml:space="preserve">Expansion 150</x:t>
        </x:is>
      </x:c>
      <x:c r="F135" s="5" t="n">
        <x:v>14</x:v>
      </x:c>
      <x:c r="G135" s="5" t="inlineStr">
        <x:is>
          <x:t xml:space="preserve">Create a travel packing and logistics checklist tailored to my exact trip.</x:t>
        </x:is>
      </x:c>
      <x:c r="H135" s="6" t="n">
        <x:v>56</x:v>
      </x:c>
      <x:c r="I135" s="6" t="n">
        <x:v>56</x:v>
      </x:c>
      <x:c r="J135" s="7" t="n">
        <x:v>76</x:v>
      </x:c>
      <x:c r="K135" s="7" t="n">
        <x:v>65</x:v>
      </x:c>
      <x:c r="L135" s="8" t="inlineStr">
        <x:is>
          <x:t xml:space="preserve">UNTESTED</x:t>
        </x:is>
      </x:c>
      <x:c r="M135" s="9" t="inlineStr">
        <x:is>
          <x:t xml:space="preserve">UNTESTED</x:t>
        </x:is>
      </x:c>
      <x:c r="N135" s="5" t="inlineStr">
        <x:is>
          <x:t xml:space="preserve">task planning; prioritization; calendar reasoning; personal constraints handling</x:t>
        </x:is>
      </x:c>
      <x:c r="O135" s="5" t="inlineStr">
        <x:is>
          <x:t xml:space="preserve">Low</x:t>
        </x:is>
      </x:c>
      <x:c r="P135" s="5" t="inlineStr">
        <x:is>
          <x:t xml:space="preserve">High</x:t>
        </x:is>
      </x:c>
      <x:c r="Q135" s="5" t="inlineStr">
        <x:is>
          <x:t xml:space="preserve">Medium</x:t>
        </x:is>
      </x:c>
      <x:c r="R135" s="5" t="inlineStr">
        <x:is>
          <x:t xml:space="preserve">Low</x:t>
        </x:is>
      </x:c>
      <x:c r="S135" s="5" t="inlineStr">
        <x:is>
          <x:t xml:space="preserve">Low</x:t>
        </x:is>
      </x:c>
      <x:c r="T135" s="5" t="inlineStr">
        <x:is>
          <x:t xml:space="preserve">ChatGPT primary; calendar integrations later</x:t>
        </x:is>
      </x:c>
      <x:c r="U135" s="5" t="inlineStr">
        <x:is>
          <x:t xml:space="preserve">Easy</x:t>
        </x:is>
      </x:c>
      <x:c r="V135" s="10" t="n">
        <x:v>1</x:v>
      </x:c>
      <x:c r="W135" s="5" t="inlineStr">
        <x:is>
          <x:t xml:space="preserve">Scenario-based planning + operator utility review</x:t>
        </x:is>
      </x:c>
      <x:c r="X135" s="5" t="inlineStr">
        <x:is>
          <x:t xml:space="preserve">schedule / checklist / operating plan</x:t>
        </x:is>
      </x:c>
      <x:c r="Y135" s="5" t="inlineStr">
        <x:is>
          <x:t xml:space="preserve">Plan is realistic, prioritized, and executable under stated constraints.</x:t>
        </x:is>
      </x:c>
      <x:c r="Z135" s="5" t="inlineStr">
        <x:is>
          <x:t xml:space="preserve">Overpacked schedule, ignored constraints, or vague next steps.</x:t>
        </x:is>
      </x:c>
      <x:c r="AA135" s="5" t="inlineStr">
        <x:is>
          <x:t xml:space="preserve">planner engine / memory / calendar-tool integration</x:t>
        </x:is>
      </x:c>
      <x:c r="AB135" s="5" t="inlineStr">
        <x:is>
          <x:t xml:space="preserve"/>
        </x:is>
      </x:c>
      <x:c r="AC135" s="5" t="inlineStr">
        <x:is>
          <x:t xml:space="preserve">Menlo consumer AI: 18% use AI to manage to-do lists and 15% to organize notes; Zao-Sanders ranked 'Organise my life' #2.</x:t>
        </x:is>
      </x:c>
      <x:c r="AD135" s="5" t="inlineStr">
        <x:is>
          <x:t xml:space="preserve">Menlo State of Consumer AI 2025; Zao-Sanders Top-100 GenAI Use Cases 2025</x:t>
        </x:is>
      </x:c>
      <x:c r="AE135" s="11">
        <x:f>IF(O135="High",20,IF(O135="Medium",10,IF(O135="Low",5,0)))+IF(P135="High",20,IF(P135="Medium",10,IF(P135="Low",5,0)))+IF(Q135="High",20,IF(Q135="Medium",10,IF(Q135="Low",5,0)))+IF(R135="High",20,IF(R135="Medium",10,IF(R135="Low",5,0)))+IF(S135="High",20,IF(S135="Medium",10,IF(S135="Low",5,0)))</x:f>
        <x:v>45</x:v>
      </x:c>
      <x:c r="AF135" s="12">
        <x:f>ROUND(H135*0.30+J135*0.25+K135*0.20+(100-AE135)*0.10+(100-(V135*20))*0.15,0)</x:f>
        <x:v>66</x:v>
      </x:c>
      <x:c r="AG135" s="13" t="str">
        <x:f>IF(AF135&gt;=80,"Batch 1",IF(AF135&gt;=70,"Batch 2",IF(AF135&gt;=60,"Batch 3","Backlog")))</x:f>
        <x:v>Batch 3</x:v>
      </x:c>
      <x:c r="AH135" t="inlineStr">
        <x:is>
          <x:t xml:space="preserve"/>
        </x:is>
      </x:c>
    </x:row>
    <x:row r="136">
      <x:c r="A136" s="5" t="inlineStr">
        <x:is>
          <x:t xml:space="preserve">GPO-SHO-12</x:t>
        </x:is>
      </x:c>
      <x:c r="B136" s="5" t="n">
        <x:v>132</x:v>
      </x:c>
      <x:c r="C136" s="5" t="inlineStr">
        <x:is>
          <x:t xml:space="preserve">Shopping &amp; Buying Advisor</x:t>
        </x:is>
      </x:c>
      <x:c r="D136" s="5" t="inlineStr">
        <x:is>
          <x:t xml:space="preserve">Buy</x:t>
        </x:is>
      </x:c>
      <x:c r="E136" s="5" t="inlineStr">
        <x:is>
          <x:t xml:space="preserve">Expansion 150</x:t>
        </x:is>
      </x:c>
      <x:c r="F136" s="5" t="n">
        <x:v>12</x:v>
      </x:c>
      <x:c r="G136" s="5" t="inlineStr">
        <x:is>
          <x:t xml:space="preserve">Recommend gifts for this person that feel thoughtful, not generic.</x:t>
        </x:is>
      </x:c>
      <x:c r="H136" s="6" t="n">
        <x:v>56</x:v>
      </x:c>
      <x:c r="I136" s="6" t="n">
        <x:v>56</x:v>
      </x:c>
      <x:c r="J136" s="7" t="n">
        <x:v>76</x:v>
      </x:c>
      <x:c r="K136" s="7" t="n">
        <x:v>65</x:v>
      </x:c>
      <x:c r="L136" s="8" t="inlineStr">
        <x:is>
          <x:t xml:space="preserve">UNTESTED</x:t>
        </x:is>
      </x:c>
      <x:c r="M136" s="9" t="inlineStr">
        <x:is>
          <x:t xml:space="preserve">UNTESTED</x:t>
        </x:is>
      </x:c>
      <x:c r="N136" s="5" t="inlineStr">
        <x:is>
          <x:t xml:space="preserve">web/product research; comparison; price-value reasoning; shortlist generation</x:t>
        </x:is>
      </x:c>
      <x:c r="O136" s="5" t="inlineStr">
        <x:is>
          <x:t xml:space="preserve">High</x:t>
        </x:is>
      </x:c>
      <x:c r="P136" s="5" t="inlineStr">
        <x:is>
          <x:t xml:space="preserve">Medium</x:t>
        </x:is>
      </x:c>
      <x:c r="Q136" s="5" t="inlineStr">
        <x:is>
          <x:t xml:space="preserve">Medium</x:t>
        </x:is>
      </x:c>
      <x:c r="R136" s="5" t="inlineStr">
        <x:is>
          <x:t xml:space="preserve">Low</x:t>
        </x:is>
      </x:c>
      <x:c r="S136" s="5" t="inlineStr">
        <x:is>
          <x:t xml:space="preserve">Low</x:t>
        </x:is>
      </x:c>
      <x:c r="T136" s="5" t="inlineStr">
        <x:is>
          <x:t xml:space="preserve">ChatGPT with web</x:t>
        </x:is>
      </x:c>
      <x:c r="U136" s="5" t="inlineStr">
        <x:is>
          <x:t xml:space="preserve">Easy</x:t>
        </x:is>
      </x:c>
      <x:c r="V136" s="10" t="n">
        <x:v>1</x:v>
      </x:c>
      <x:c r="W136" s="5" t="inlineStr">
        <x:is>
          <x:t xml:space="preserve">Live shopping query + recommendation validation</x:t>
        </x:is>
      </x:c>
      <x:c r="X136" s="5" t="inlineStr">
        <x:is>
          <x:t xml:space="preserve">shortlist / recommendation / comparison / cart plan</x:t>
        </x:is>
      </x:c>
      <x:c r="Y136" s="5" t="inlineStr">
        <x:is>
          <x:t xml:space="preserve">Recommendation fits constraints and explains tradeoffs clearly.</x:t>
        </x:is>
      </x:c>
      <x:c r="Z136" s="5" t="inlineStr">
        <x:is>
          <x:t xml:space="preserve">Outdated products, poor fit, missed constraints, or shallow comparison.</x:t>
        </x:is>
      </x:c>
      <x:c r="AA136" s="5" t="inlineStr">
        <x:is>
          <x:t xml:space="preserve">web/product retrieval / comparison template / user preference memory</x:t>
        </x:is>
      </x:c>
      <x:c r="AB136" s="5" t="inlineStr">
        <x:is>
          <x:t xml:space="preserve"/>
        </x:is>
      </x:c>
      <x:c r="AC136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36" s="5" t="inlineStr">
        <x:is>
          <x:t xml:space="preserve">Deloitte Connected Consumer 2025; Salesforce Connected Shopper 2025; IAB 2025 shopping study</x:t>
        </x:is>
      </x:c>
      <x:c r="AE136" s="11">
        <x:f>IF(O136="High",20,IF(O136="Medium",10,IF(O136="Low",5,0)))+IF(P136="High",20,IF(P136="Medium",10,IF(P136="Low",5,0)))+IF(Q136="High",20,IF(Q136="Medium",10,IF(Q136="Low",5,0)))+IF(R136="High",20,IF(R136="Medium",10,IF(R136="Low",5,0)))+IF(S136="High",20,IF(S136="Medium",10,IF(S136="Low",5,0)))</x:f>
        <x:v>50</x:v>
      </x:c>
      <x:c r="AF136" s="12">
        <x:f>ROUND(H136*0.30+J136*0.25+K136*0.20+(100-AE136)*0.10+(100-(V136*20))*0.15,0)</x:f>
        <x:v>66</x:v>
      </x:c>
      <x:c r="AG136" s="13" t="str">
        <x:f>IF(AF136&gt;=80,"Batch 1",IF(AF136&gt;=70,"Batch 2",IF(AF136&gt;=60,"Batch 3","Backlog")))</x:f>
        <x:v>Batch 3</x:v>
      </x:c>
      <x:c r="AH136" t="inlineStr">
        <x:is>
          <x:t xml:space="preserve"/>
        </x:is>
      </x:c>
    </x:row>
    <x:row r="137">
      <x:c r="A137" s="5" t="inlineStr">
        <x:is>
          <x:t xml:space="preserve">GPO-HEA-05</x:t>
        </x:is>
      </x:c>
      <x:c r="B137" s="5" t="n">
        <x:v>133</x:v>
      </x:c>
      <x:c r="C137" s="5" t="inlineStr">
        <x:is>
          <x:t xml:space="preserve">Health &amp; Wellness Coach</x:t>
        </x:is>
      </x:c>
      <x:c r="D137" s="5" t="inlineStr">
        <x:is>
          <x:t xml:space="preserve">Care</x:t>
        </x:is>
      </x:c>
      <x:c r="E137" s="5" t="inlineStr">
        <x:is>
          <x:t xml:space="preserve">Core 150</x:t>
        </x:is>
      </x:c>
      <x:c r="F137" s="5" t="n">
        <x:v>5</x:v>
      </x:c>
      <x:c r="G137" s="5" t="inlineStr">
        <x:is>
          <x:t xml:space="preserve">Help me build a gut-health/recovery plan based on my symptoms and habits.</x:t>
        </x:is>
      </x:c>
      <x:c r="H137" s="6" t="n">
        <x:v>68</x:v>
      </x:c>
      <x:c r="I137" s="6" t="n">
        <x:v>68</x:v>
      </x:c>
      <x:c r="J137" s="7" t="n">
        <x:v>59</x:v>
      </x:c>
      <x:c r="K137" s="7" t="n">
        <x:v>64</x:v>
      </x:c>
      <x:c r="L137" s="8" t="inlineStr">
        <x:is>
          <x:t xml:space="preserve">UNTESTED</x:t>
        </x:is>
      </x:c>
      <x:c r="M137" s="9" t="inlineStr">
        <x:is>
          <x:t xml:space="preserve">UNTESTED</x:t>
        </x:is>
      </x:c>
      <x:c r="N137" s="5" t="inlineStr">
        <x:is>
          <x:t xml:space="preserve">health explanation; risk framing; behavior coaching; careful disclaimer handling</x:t>
        </x:is>
      </x:c>
      <x:c r="O137" s="5" t="inlineStr">
        <x:is>
          <x:t xml:space="preserve">Medium</x:t>
        </x:is>
      </x:c>
      <x:c r="P137" s="5" t="inlineStr">
        <x:is>
          <x:t xml:space="preserve">High</x:t>
        </x:is>
      </x:c>
      <x:c r="Q137" s="5" t="inlineStr">
        <x:is>
          <x:t xml:space="preserve">Low</x:t>
        </x:is>
      </x:c>
      <x:c r="R137" s="5" t="inlineStr">
        <x:is>
          <x:t xml:space="preserve">Low</x:t>
        </x:is>
      </x:c>
      <x:c r="S137" s="5" t="inlineStr">
        <x:is>
          <x:t xml:space="preserve">Medium</x:t>
        </x:is>
      </x:c>
      <x:c r="T137" s="5" t="inlineStr">
        <x:is>
          <x:t xml:space="preserve">ChatGPT primary with careful guardrails</x:t>
        </x:is>
      </x:c>
      <x:c r="U137" s="5" t="inlineStr">
        <x:is>
          <x:t xml:space="preserve">Medium</x:t>
        </x:is>
      </x:c>
      <x:c r="V137" s="10" t="n">
        <x:v>2</x:v>
      </x:c>
      <x:c r="W137" s="5" t="inlineStr">
        <x:is>
          <x:t xml:space="preserve">Scenario prompts + safety review + usefulness review</x:t>
        </x:is>
      </x:c>
      <x:c r="X137" s="5" t="inlineStr">
        <x:is>
          <x:t xml:space="preserve">plan / explanation / checklist / prep brief</x:t>
        </x:is>
      </x:c>
      <x:c r="Y137" s="5" t="inlineStr">
        <x:is>
          <x:t xml:space="preserve">Useful, cautious, practical guidance that stays within safe boundaries.</x:t>
        </x:is>
      </x:c>
      <x:c r="Z137" s="5" t="inlineStr">
        <x:is>
          <x:t xml:space="preserve">Overconfident medical claims, weak escalation guidance, or unsafe advice.</x:t>
        </x:is>
      </x:c>
      <x:c r="AA137" s="5" t="inlineStr">
        <x:is>
          <x:t xml:space="preserve">safety layer / health mode / evidence grounding</x:t>
        </x:is>
      </x:c>
      <x:c r="AB137" s="5" t="inlineStr">
        <x:is>
          <x:t xml:space="preserve"/>
        </x:is>
      </x:c>
      <x:c r="AC137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37" s="5" t="inlineStr">
        <x:is>
          <x:t xml:space="preserve">OpenAI Introducing GPT-5; APPC 2025 health survey; Deloitte Connected Consumer 2025</x:t>
        </x:is>
      </x:c>
      <x:c r="AE137" s="11">
        <x:f>IF(O137="High",20,IF(O137="Medium",10,IF(O137="Low",5,0)))+IF(P137="High",20,IF(P137="Medium",10,IF(P137="Low",5,0)))+IF(Q137="High",20,IF(Q137="Medium",10,IF(Q137="Low",5,0)))+IF(R137="High",20,IF(R137="Medium",10,IF(R137="Low",5,0)))+IF(S137="High",20,IF(S137="Medium",10,IF(S137="Low",5,0)))</x:f>
        <x:v>50</x:v>
      </x:c>
      <x:c r="AF137" s="12">
        <x:f>ROUND(H137*0.30+J137*0.25+K137*0.20+(100-AE137)*0.10+(100-(V137*20))*0.15,0)</x:f>
        <x:v>62</x:v>
      </x:c>
      <x:c r="AG137" s="13" t="str">
        <x:f>IF(AF137&gt;=80,"Batch 1",IF(AF137&gt;=70,"Batch 2",IF(AF137&gt;=60,"Batch 3","Backlog")))</x:f>
        <x:v>Batch 3</x:v>
      </x:c>
      <x:c r="AH137" t="inlineStr">
        <x:is>
          <x:t xml:space="preserve"/>
        </x:is>
      </x:c>
    </x:row>
    <x:row r="138">
      <x:c r="A138" s="5" t="inlineStr">
        <x:is>
          <x:t xml:space="preserve">GPO-STA-08</x:t>
        </x:is>
      </x:c>
      <x:c r="B138" s="5" t="n">
        <x:v>134</x:v>
      </x:c>
      <x:c r="C138" s="5" t="inlineStr">
        <x:is>
          <x:t xml:space="preserve">Startup &amp; Business Builder</x:t>
        </x:is>
      </x:c>
      <x:c r="D138" s="5" t="inlineStr">
        <x:is>
          <x:t xml:space="preserve">Build</x:t>
        </x:is>
      </x:c>
      <x:c r="E138" s="5" t="inlineStr">
        <x:is>
          <x:t xml:space="preserve">Core 150</x:t>
        </x:is>
      </x:c>
      <x:c r="F138" s="5" t="n">
        <x:v>8</x:v>
      </x:c>
      <x:c r="G138" s="5" t="inlineStr">
        <x:is>
          <x:t xml:space="preserve">Draft the pitch, one-liner, positioning, and landing page copy for {startup}.</x:t>
        </x:is>
      </x:c>
      <x:c r="H138" s="6" t="n">
        <x:v>57</x:v>
      </x:c>
      <x:c r="I138" s="6" t="n">
        <x:v>57</x:v>
      </x:c>
      <x:c r="J138" s="7" t="n">
        <x:v>74</x:v>
      </x:c>
      <x:c r="K138" s="7" t="n">
        <x:v>65</x:v>
      </x:c>
      <x:c r="L138" s="8" t="inlineStr">
        <x:is>
          <x:t xml:space="preserve">UNTESTED</x:t>
        </x:is>
      </x:c>
      <x:c r="M138" s="9" t="inlineStr">
        <x:is>
          <x:t xml:space="preserve">UNTESTED</x:t>
        </x:is>
      </x:c>
      <x:c r="N138" s="5" t="inlineStr">
        <x:is>
          <x:t xml:space="preserve">strategy; product thinking; GTM reasoning; structured planning</x:t>
        </x:is>
      </x:c>
      <x:c r="O138" s="5" t="inlineStr">
        <x:is>
          <x:t xml:space="preserve">Medium</x:t>
        </x:is>
      </x:c>
      <x:c r="P138" s="5" t="inlineStr">
        <x:is>
          <x:t xml:space="preserve">High</x:t>
        </x:is>
      </x:c>
      <x:c r="Q138" s="5" t="inlineStr">
        <x:is>
          <x:t xml:space="preserve">Low</x:t>
        </x:is>
      </x:c>
      <x:c r="R138" s="5" t="inlineStr">
        <x:is>
          <x:t xml:space="preserve">Medium</x:t>
        </x:is>
      </x:c>
      <x:c r="S138" s="5" t="inlineStr">
        <x:is>
          <x:t xml:space="preserve">Low</x:t>
        </x:is>
      </x:c>
      <x:c r="T138" s="5" t="inlineStr">
        <x:is>
          <x:t xml:space="preserve">Claude + ChatGPT combo</x:t>
        </x:is>
      </x:c>
      <x:c r="U138" s="5" t="inlineStr">
        <x:is>
          <x:t xml:space="preserve">Easy</x:t>
        </x:is>
      </x:c>
      <x:c r="V138" s="10" t="n">
        <x:v>1</x:v>
      </x:c>
      <x:c r="W138" s="5" t="inlineStr">
        <x:is>
          <x:t xml:space="preserve">Plan generation + critique + strategic review</x:t>
        </x:is>
      </x:c>
      <x:c r="X138" s="5" t="inlineStr">
        <x:is>
          <x:t xml:space="preserve">roadmap / GTM plan / business memo</x:t>
        </x:is>
      </x:c>
      <x:c r="Y138" s="5" t="inlineStr">
        <x:is>
          <x:t xml:space="preserve">Recommendation is strategically sharp, prioritized, and grounded in market reality.</x:t>
        </x:is>
      </x:c>
      <x:c r="Z138" s="5" t="inlineStr">
        <x:is>
          <x:t xml:space="preserve">Buzzwordy output, no wedge, weak prioritization, or unearned confidence.</x:t>
        </x:is>
      </x:c>
      <x:c r="AA138" s="5" t="inlineStr">
        <x:is>
          <x:t xml:space="preserve">strategy templates / board logic / critique loop</x:t>
        </x:is>
      </x:c>
      <x:c r="AB138" s="5" t="inlineStr">
        <x:is>
          <x:t xml:space="preserve"/>
        </x:is>
      </x:c>
      <x:c r="AC138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38" s="5" t="inlineStr">
        <x:is>
          <x:t xml:space="preserve">OpenAI How People Use ChatGPT paper; Menlo State of Consumer AI 2025; Menlo AI UI Problem 2025</x:t>
        </x:is>
      </x:c>
      <x:c r="AE138" s="11">
        <x:f>IF(O138="High",20,IF(O138="Medium",10,IF(O138="Low",5,0)))+IF(P138="High",20,IF(P138="Medium",10,IF(P138="Low",5,0)))+IF(Q138="High",20,IF(Q138="Medium",10,IF(Q138="Low",5,0)))+IF(R138="High",20,IF(R138="Medium",10,IF(R138="Low",5,0)))+IF(S138="High",20,IF(S138="Medium",10,IF(S138="Low",5,0)))</x:f>
        <x:v>50</x:v>
      </x:c>
      <x:c r="AF138" s="12">
        <x:f>ROUND(H138*0.30+J138*0.25+K138*0.20+(100-AE138)*0.10+(100-(V138*20))*0.15,0)</x:f>
        <x:v>66</x:v>
      </x:c>
      <x:c r="AG138" s="13" t="str">
        <x:f>IF(AF138&gt;=80,"Batch 1",IF(AF138&gt;=70,"Batch 2",IF(AF138&gt;=60,"Batch 3","Backlog")))</x:f>
        <x:v>Batch 3</x:v>
      </x:c>
      <x:c r="AH138" t="inlineStr">
        <x:is>
          <x:t xml:space="preserve"/>
        </x:is>
      </x:c>
    </x:row>
    <x:row r="139">
      <x:c r="A139" s="5" t="inlineStr">
        <x:is>
          <x:t xml:space="preserve">GPO-SCR-03</x:t>
        </x:is>
      </x:c>
      <x:c r="B139" s="5" t="n">
        <x:v>135</x:v>
      </x:c>
      <x:c r="C139" s="5" t="inlineStr">
        <x:is>
          <x:t xml:space="preserve">Screenwriting &amp; Story Development</x:t>
        </x:is>
      </x:c>
      <x:c r="D139" s="5" t="inlineStr">
        <x:is>
          <x:t xml:space="preserve">Create</x:t>
        </x:is>
      </x:c>
      <x:c r="E139" s="5" t="inlineStr">
        <x:is>
          <x:t xml:space="preserve">Core 150</x:t>
        </x:is>
      </x:c>
      <x:c r="F139" s="5" t="n">
        <x:v>3</x:v>
      </x:c>
      <x:c r="G139" s="5" t="inlineStr">
        <x:is>
          <x:t xml:space="preserve">Help me develop a protagonist who feels original, conflicted, and cinematic.</x:t>
        </x:is>
      </x:c>
      <x:c r="H139" s="6" t="n">
        <x:v>56</x:v>
      </x:c>
      <x:c r="I139" s="6" t="n">
        <x:v>56</x:v>
      </x:c>
      <x:c r="J139" s="7" t="n">
        <x:v>75</x:v>
      </x:c>
      <x:c r="K139" s="7" t="n">
        <x:v>65</x:v>
      </x:c>
      <x:c r="L139" s="8" t="inlineStr">
        <x:is>
          <x:t xml:space="preserve">UNTESTED</x:t>
        </x:is>
      </x:c>
      <x:c r="M139" s="9" t="inlineStr">
        <x:is>
          <x:t xml:space="preserve">UNTESTED</x:t>
        </x:is>
      </x:c>
      <x:c r="N139" s="5" t="inlineStr">
        <x:is>
          <x:t xml:space="preserve">creative ideation; story structure; tone control; character design</x:t>
        </x:is>
      </x:c>
      <x:c r="O139" s="5" t="inlineStr">
        <x:is>
          <x:t xml:space="preserve">Low</x:t>
        </x:is>
      </x:c>
      <x:c r="P139" s="5" t="inlineStr">
        <x:is>
          <x:t xml:space="preserve">Medium</x:t>
        </x:is>
      </x:c>
      <x:c r="Q139" s="5" t="inlineStr">
        <x:is>
          <x:t xml:space="preserve">Low</x:t>
        </x:is>
      </x:c>
      <x:c r="R139" s="5" t="inlineStr">
        <x:is>
          <x:t xml:space="preserve">Low</x:t>
        </x:is>
      </x:c>
      <x:c r="S139" s="5" t="inlineStr">
        <x:is>
          <x:t xml:space="preserve">Low</x:t>
        </x:is>
      </x:c>
      <x:c r="T139" s="5" t="inlineStr">
        <x:is>
          <x:t xml:space="preserve">ChatGPT or Claude creative mode</x:t>
        </x:is>
      </x:c>
      <x:c r="U139" s="5" t="inlineStr">
        <x:is>
          <x:t xml:space="preserve">Easy</x:t>
        </x:is>
      </x:c>
      <x:c r="V139" s="10" t="n">
        <x:v>1</x:v>
      </x:c>
      <x:c r="W139" s="5" t="inlineStr">
        <x:is>
          <x:t xml:space="preserve">Creative prompt run + human taste review</x:t>
        </x:is>
      </x:c>
      <x:c r="X139" s="5" t="inlineStr">
        <x:is>
          <x:t xml:space="preserve">logline / outline / scene rewrite / treatment</x:t>
        </x:is>
      </x:c>
      <x:c r="Y139" s="5" t="inlineStr">
        <x:is>
          <x:t xml:space="preserve">Story work feels coherent, original, and emotionally alive.</x:t>
        </x:is>
      </x:c>
      <x:c r="Z139" s="5" t="inlineStr">
        <x:is>
          <x:t xml:space="preserve">Cliche ideas, flat dialogue, weak stakes, or no tonal discipline.</x:t>
        </x:is>
      </x:c>
      <x:c r="AA139" s="5" t="inlineStr">
        <x:is>
          <x:t xml:space="preserve">creative mode / style packs / development workflow</x:t>
        </x:is>
      </x:c>
      <x:c r="AB139" s="5" t="inlineStr">
        <x:is>
          <x:t xml:space="preserve"/>
        </x:is>
      </x:c>
      <x:c r="AC139" s="5" t="inlineStr">
        <x:is>
          <x:t xml:space="preserve">OpenAI practical guidance includes creative ideation; creator surveys show broad use of generative AI in creative workflows.</x:t>
        </x:is>
      </x:c>
      <x:c r="AD139" s="5" t="inlineStr">
        <x:is>
          <x:t xml:space="preserve">OpenAI How People Use ChatGPT paper; Adobe creators survey 2025; Wondercraft/Digiday creator workflow survey 2025</x:t>
        </x:is>
      </x:c>
      <x:c r="AE139" s="11">
        <x:f>IF(O139="High",20,IF(O139="Medium",10,IF(O139="Low",5,0)))+IF(P139="High",20,IF(P139="Medium",10,IF(P139="Low",5,0)))+IF(Q139="High",20,IF(Q139="Medium",10,IF(Q139="Low",5,0)))+IF(R139="High",20,IF(R139="Medium",10,IF(R139="Low",5,0)))+IF(S139="High",20,IF(S139="Medium",10,IF(S139="Low",5,0)))</x:f>
        <x:v>30</x:v>
      </x:c>
      <x:c r="AF139" s="12">
        <x:f>ROUND(H139*0.30+J139*0.25+K139*0.20+(100-AE139)*0.10+(100-(V139*20))*0.15,0)</x:f>
        <x:v>68</x:v>
      </x:c>
      <x:c r="AG139" s="13" t="str">
        <x:f>IF(AF139&gt;=80,"Batch 1",IF(AF139&gt;=70,"Batch 2",IF(AF139&gt;=60,"Batch 3","Backlog")))</x:f>
        <x:v>Batch 3</x:v>
      </x:c>
      <x:c r="AH139" t="inlineStr">
        <x:is>
          <x:t xml:space="preserve"/>
        </x:is>
      </x:c>
    </x:row>
    <x:row r="140">
      <x:c r="A140" s="5" t="inlineStr">
        <x:is>
          <x:t xml:space="preserve">GPO-TRA-11</x:t>
        </x:is>
      </x:c>
      <x:c r="B140" s="5" t="n">
        <x:v>136</x:v>
      </x:c>
      <x:c r="C140" s="5" t="inlineStr">
        <x:is>
          <x:t xml:space="preserve">Travel &amp; Relocation Planner</x:t>
        </x:is>
      </x:c>
      <x:c r="D140" s="5" t="inlineStr">
        <x:is>
          <x:t xml:space="preserve">Move</x:t>
        </x:is>
      </x:c>
      <x:c r="E140" s="5" t="inlineStr">
        <x:is>
          <x:t xml:space="preserve">Expansion 150</x:t>
        </x:is>
      </x:c>
      <x:c r="F140" s="5" t="n">
        <x:v>11</x:v>
      </x:c>
      <x:c r="G140" s="5" t="inlineStr">
        <x:is>
          <x:t xml:space="preserve">Create a one-bag packing list for my trip conditions.</x:t>
        </x:is>
      </x:c>
      <x:c r="H140" s="6" t="n">
        <x:v>56</x:v>
      </x:c>
      <x:c r="I140" s="6" t="n">
        <x:v>56</x:v>
      </x:c>
      <x:c r="J140" s="7" t="n">
        <x:v>75</x:v>
      </x:c>
      <x:c r="K140" s="7" t="n">
        <x:v>65</x:v>
      </x:c>
      <x:c r="L140" s="8" t="inlineStr">
        <x:is>
          <x:t xml:space="preserve">UNTESTED</x:t>
        </x:is>
      </x:c>
      <x:c r="M140" s="9" t="inlineStr">
        <x:is>
          <x:t xml:space="preserve">UNTESTED</x:t>
        </x:is>
      </x:c>
      <x:c r="N140" s="5" t="inlineStr">
        <x:is>
          <x:t xml:space="preserve">travel research; itinerary planning; logistics reasoning; contingency planning</x:t>
        </x:is>
      </x:c>
      <x:c r="O140" s="5" t="inlineStr">
        <x:is>
          <x:t xml:space="preserve">High</x:t>
        </x:is>
      </x:c>
      <x:c r="P140" s="5" t="inlineStr">
        <x:is>
          <x:t xml:space="preserve">Medium</x:t>
        </x:is>
      </x:c>
      <x:c r="Q140" s="5" t="inlineStr">
        <x:is>
          <x:t xml:space="preserve">Medium</x:t>
        </x:is>
      </x:c>
      <x:c r="R140" s="5" t="inlineStr">
        <x:is>
          <x:t xml:space="preserve">Low</x:t>
        </x:is>
      </x:c>
      <x:c r="S140" s="5" t="inlineStr">
        <x:is>
          <x:t xml:space="preserve">Low</x:t>
        </x:is>
      </x:c>
      <x:c r="T140" s="5" t="inlineStr">
        <x:is>
          <x:t xml:space="preserve">ChatGPT with web; maps/calendar later</x:t>
        </x:is>
      </x:c>
      <x:c r="U140" s="5" t="inlineStr">
        <x:is>
          <x:t xml:space="preserve">Easy</x:t>
        </x:is>
      </x:c>
      <x:c r="V140" s="10" t="n">
        <x:v>1</x:v>
      </x:c>
      <x:c r="W140" s="5" t="inlineStr">
        <x:is>
          <x:t xml:space="preserve">Live trip planning + feasibility review</x:t>
        </x:is>
      </x:c>
      <x:c r="X140" s="5" t="inlineStr">
        <x:is>
          <x:t xml:space="preserve">itinerary / relocation plan / checklist</x:t>
        </x:is>
      </x:c>
      <x:c r="Y140" s="5" t="inlineStr">
        <x:is>
          <x:t xml:space="preserve">Plan is current, geographically sensible, and tuned to budget/constraints.</x:t>
        </x:is>
      </x:c>
      <x:c r="Z140" s="5" t="inlineStr">
        <x:is>
          <x:t xml:space="preserve">Bad logistics, stale info, wrong timing, or generic travel advice.</x:t>
        </x:is>
      </x:c>
      <x:c r="AA140" s="5" t="inlineStr">
        <x:is>
          <x:t xml:space="preserve">travel templates / web + mapping integration / logistics engine</x:t>
        </x:is>
      </x:c>
      <x:c r="AB140" s="5" t="inlineStr">
        <x:is>
          <x:t xml:space="preserve"/>
        </x:is>
      </x:c>
      <x:c r="AC140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40" s="5" t="inlineStr">
        <x:is>
          <x:t xml:space="preserve">Deloitte Connected Consumer 2025; Adobe travel planning 2025</x:t>
        </x:is>
      </x:c>
      <x:c r="AE140" s="11">
        <x:f>IF(O140="High",20,IF(O140="Medium",10,IF(O140="Low",5,0)))+IF(P140="High",20,IF(P140="Medium",10,IF(P140="Low",5,0)))+IF(Q140="High",20,IF(Q140="Medium",10,IF(Q140="Low",5,0)))+IF(R140="High",20,IF(R140="Medium",10,IF(R140="Low",5,0)))+IF(S140="High",20,IF(S140="Medium",10,IF(S140="Low",5,0)))</x:f>
        <x:v>50</x:v>
      </x:c>
      <x:c r="AF140" s="12">
        <x:f>ROUND(H140*0.30+J140*0.25+K140*0.20+(100-AE140)*0.10+(100-(V140*20))*0.15,0)</x:f>
        <x:v>66</x:v>
      </x:c>
      <x:c r="AG140" s="13" t="str">
        <x:f>IF(AF140&gt;=80,"Batch 1",IF(AF140&gt;=70,"Batch 2",IF(AF140&gt;=60,"Batch 3","Backlog")))</x:f>
        <x:v>Batch 3</x:v>
      </x:c>
      <x:c r="AH140" t="inlineStr">
        <x:is>
          <x:t xml:space="preserve"/>
        </x:is>
      </x:c>
    </x:row>
    <x:row r="141">
      <x:c r="A141" s="5" t="inlineStr">
        <x:is>
          <x:t xml:space="preserve">GPO-CAR-09</x:t>
        </x:is>
      </x:c>
      <x:c r="B141" s="5" t="n">
        <x:v>137</x:v>
      </x:c>
      <x:c r="C141" s="5" t="inlineStr">
        <x:is>
          <x:t xml:space="preserve">Career &amp; Job Search</x:t>
        </x:is>
      </x:c>
      <x:c r="D141" s="5" t="inlineStr">
        <x:is>
          <x:t xml:space="preserve">Advance</x:t>
        </x:is>
      </x:c>
      <x:c r="E141" s="5" t="inlineStr">
        <x:is>
          <x:t xml:space="preserve">Core 150</x:t>
        </x:is>
      </x:c>
      <x:c r="F141" s="5" t="n">
        <x:v>9</x:v>
      </x:c>
      <x:c r="G141" s="5" t="inlineStr">
        <x:is>
          <x:t xml:space="preserve">Create a 90-day plan to become qualified for the target role.</x:t>
        </x:is>
      </x:c>
      <x:c r="H141" s="6" t="n">
        <x:v>54</x:v>
      </x:c>
      <x:c r="I141" s="6" t="n">
        <x:v>54</x:v>
      </x:c>
      <x:c r="J141" s="7" t="n">
        <x:v>78</x:v>
      </x:c>
      <x:c r="K141" s="7" t="n">
        <x:v>65</x:v>
      </x:c>
      <x:c r="L141" s="8" t="inlineStr">
        <x:is>
          <x:t xml:space="preserve">UNTESTED</x:t>
        </x:is>
      </x:c>
      <x:c r="M141" s="9" t="inlineStr">
        <x:is>
          <x:t xml:space="preserve">UNTESTED</x:t>
        </x:is>
      </x:c>
      <x:c r="N141" s="5" t="inlineStr">
        <x:is>
          <x:t xml:space="preserve">resume tailoring; interview prep; role mapping; narrative building</x:t>
        </x:is>
      </x:c>
      <x:c r="O141" s="5" t="inlineStr">
        <x:is>
          <x:t xml:space="preserve">Medium</x:t>
        </x:is>
      </x:c>
      <x:c r="P141" s="5" t="inlineStr">
        <x:is>
          <x:t xml:space="preserve">High</x:t>
        </x:is>
      </x:c>
      <x:c r="Q141" s="5" t="inlineStr">
        <x:is>
          <x:t xml:space="preserve">Low</x:t>
        </x:is>
      </x:c>
      <x:c r="R141" s="5" t="inlineStr">
        <x:is>
          <x:t xml:space="preserve">Low</x:t>
        </x:is>
      </x:c>
      <x:c r="S141" s="5" t="inlineStr">
        <x:is>
          <x:t xml:space="preserve">Low</x:t>
        </x:is>
      </x:c>
      <x:c r="T141" s="5" t="inlineStr">
        <x:is>
          <x:t xml:space="preserve">ChatGPT primary</x:t>
        </x:is>
      </x:c>
      <x:c r="U141" s="5" t="inlineStr">
        <x:is>
          <x:t xml:space="preserve">Easy</x:t>
        </x:is>
      </x:c>
      <x:c r="V141" s="10" t="n">
        <x:v>1</x:v>
      </x:c>
      <x:c r="W141" s="5" t="inlineStr">
        <x:is>
          <x:t xml:space="preserve">Artifact review + mock interview + targeting review</x:t>
        </x:is>
      </x:c>
      <x:c r="X141" s="5" t="inlineStr">
        <x:is>
          <x:t xml:space="preserve">resume / prep plan / outreach / strategy memo</x:t>
        </x:is>
      </x:c>
      <x:c r="Y141" s="5" t="inlineStr">
        <x:is>
          <x:t xml:space="preserve">Career outputs are specific, credible, and materially improve positioning.</x:t>
        </x:is>
      </x:c>
      <x:c r="Z141" s="5" t="inlineStr">
        <x:is>
          <x:t xml:space="preserve">Generic resume language, fake-sounding stories, or weak role fit.</x:t>
        </x:is>
      </x:c>
      <x:c r="AA141" s="5" t="inlineStr">
        <x:is>
          <x:t xml:space="preserve">career templates / memory / ATS-aware output logic</x:t>
        </x:is>
      </x:c>
      <x:c r="AB141" s="5" t="inlineStr">
        <x:is>
          <x:t xml:space="preserve"/>
        </x:is>
      </x:c>
      <x:c r="AC141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41" s="5" t="inlineStr">
        <x:is>
          <x:t xml:space="preserve">Insight Global AI in Hiring Report 2025; NACE student survey 2025/2026</x:t>
        </x:is>
      </x:c>
      <x:c r="AE141" s="11">
        <x:f>IF(O141="High",20,IF(O141="Medium",10,IF(O141="Low",5,0)))+IF(P141="High",20,IF(P141="Medium",10,IF(P141="Low",5,0)))+IF(Q141="High",20,IF(Q141="Medium",10,IF(Q141="Low",5,0)))+IF(R141="High",20,IF(R141="Medium",10,IF(R141="Low",5,0)))+IF(S141="High",20,IF(S141="Medium",10,IF(S141="Low",5,0)))</x:f>
        <x:v>45</x:v>
      </x:c>
      <x:c r="AF141" s="12">
        <x:f>ROUND(H141*0.30+J141*0.25+K141*0.20+(100-AE141)*0.10+(100-(V141*20))*0.15,0)</x:f>
        <x:v>66</x:v>
      </x:c>
      <x:c r="AG141" s="13" t="str">
        <x:f>IF(AF141&gt;=80,"Batch 1",IF(AF141&gt;=70,"Batch 2",IF(AF141&gt;=60,"Batch 3","Backlog")))</x:f>
        <x:v>Batch 3</x:v>
      </x:c>
      <x:c r="AH141" t="inlineStr">
        <x:is>
          <x:t xml:space="preserve"/>
        </x:is>
      </x:c>
    </x:row>
    <x:row r="142">
      <x:c r="A142" s="5" t="inlineStr">
        <x:is>
          <x:t xml:space="preserve">GPO-COD-19</x:t>
        </x:is>
      </x:c>
      <x:c r="B142" s="5" t="n">
        <x:v>138</x:v>
      </x:c>
      <x:c r="C142" s="5" t="inlineStr">
        <x:is>
          <x:t xml:space="preserve">Code &amp; Product Engineering</x:t>
        </x:is>
      </x:c>
      <x:c r="D142" s="5" t="inlineStr">
        <x:is>
          <x:t xml:space="preserve">Build</x:t>
        </x:is>
      </x:c>
      <x:c r="E142" s="5" t="inlineStr">
        <x:is>
          <x:t xml:space="preserve">Expansion 150</x:t>
        </x:is>
      </x:c>
      <x:c r="F142" s="5" t="n">
        <x:v>19</x:v>
      </x:c>
      <x:c r="G142" s="5" t="inlineStr">
        <x:is>
          <x:t xml:space="preserve">Write a complete developer handoff package for {module} including docs and test instructions.</x:t>
        </x:is>
      </x:c>
      <x:c r="H142" s="6" t="n">
        <x:v>54</x:v>
      </x:c>
      <x:c r="I142" s="6" t="n">
        <x:v>54</x:v>
      </x:c>
      <x:c r="J142" s="7" t="n">
        <x:v>78</x:v>
      </x:c>
      <x:c r="K142" s="7" t="n">
        <x:v>65</x:v>
      </x:c>
      <x:c r="L142" s="8" t="inlineStr">
        <x:is>
          <x:t xml:space="preserve">UNTESTED</x:t>
        </x:is>
      </x:c>
      <x:c r="M142" s="9" t="inlineStr">
        <x:is>
          <x:t xml:space="preserve">UNTESTED</x:t>
        </x:is>
      </x:c>
      <x:c r="N142" s="5" t="inlineStr">
        <x:is>
          <x:t xml:space="preserve">routing; code reasoning; repo context; file edit; test execution; structured output</x:t>
        </x:is>
      </x:c>
      <x:c r="O142" s="5" t="inlineStr">
        <x:is>
          <x:t xml:space="preserve">No</x:t>
        </x:is>
      </x:c>
      <x:c r="P142" s="5" t="inlineStr">
        <x:is>
          <x:t xml:space="preserve">Medium</x:t>
        </x:is>
      </x:c>
      <x:c r="Q142" s="5" t="inlineStr">
        <x:is>
          <x:t xml:space="preserve">High</x:t>
        </x:is>
      </x:c>
      <x:c r="R142" s="5" t="inlineStr">
        <x:is>
          <x:t xml:space="preserve">Medium</x:t>
        </x:is>
      </x:c>
      <x:c r="S142" s="5" t="inlineStr">
        <x:is>
          <x:t xml:space="preserve">Low</x:t>
        </x:is>
      </x:c>
      <x:c r="T142" s="5" t="inlineStr">
        <x:is>
          <x:t xml:space="preserve">Claude Code primary; ChatGPT critique; web optional</x:t>
        </x:is>
      </x:c>
      <x:c r="U142" s="5" t="inlineStr">
        <x:is>
          <x:t xml:space="preserve">Medium</x:t>
        </x:is>
      </x:c>
      <x:c r="V142" s="10" t="n">
        <x:v>2</x:v>
      </x:c>
      <x:c r="W142" s="5" t="inlineStr">
        <x:is>
          <x:t xml:space="preserve">Live execution + code diff + output review</x:t>
        </x:is>
      </x:c>
      <x:c r="X142" s="5" t="inlineStr">
        <x:is>
          <x:t xml:space="preserve">code patch / spec / architecture / debug report</x:t>
        </x:is>
      </x:c>
      <x:c r="Y142" s="5" t="inlineStr">
        <x:is>
          <x:t xml:space="preserve">Produces correct technical plan or working code without breaking current behavior.</x:t>
        </x:is>
      </x:c>
      <x:c r="Z142" s="5" t="inlineStr">
        <x:is>
          <x:t xml:space="preserve">Hallucinated codebase facts, unsafe refactor, broken tests, or vague technical output.</x:t>
        </x:is>
      </x:c>
      <x:c r="AA142" s="5" t="inlineStr">
        <x:is>
          <x:t xml:space="preserve">routing / tool wiring / repo context / codegen guardrails</x:t>
        </x:is>
      </x:c>
      <x:c r="AB142" s="5" t="inlineStr">
        <x:is>
          <x:t xml:space="preserve"/>
        </x:is>
      </x:c>
      <x:c r="AC142" s="5" t="inlineStr">
        <x:is>
          <x:t xml:space="preserve">OpenAI/common use: writing+coding; Menlo enterprise coding is 55% of departmental AI spend; Deloitte top app: work assistance.</x:t>
        </x:is>
      </x:c>
      <x:c r="AD142" s="5" t="inlineStr">
        <x:is>
          <x:t xml:space="preserve">OpenAI GPT-5 / How People Use ChatGPT; Menlo State of GenAI in Enterprise 2025; Deloitte Connected Consumer 2025</x:t>
        </x:is>
      </x:c>
      <x:c r="AE142" s="11">
        <x:f>IF(O142="High",20,IF(O142="Medium",10,IF(O142="Low",5,0)))+IF(P142="High",20,IF(P142="Medium",10,IF(P142="Low",5,0)))+IF(Q142="High",20,IF(Q142="Medium",10,IF(Q142="Low",5,0)))+IF(R142="High",20,IF(R142="Medium",10,IF(R142="Low",5,0)))+IF(S142="High",20,IF(S142="Medium",10,IF(S142="Low",5,0)))</x:f>
        <x:v>45</x:v>
      </x:c>
      <x:c r="AF142" s="12">
        <x:f>ROUND(H142*0.30+J142*0.25+K142*0.20+(100-AE142)*0.10+(100-(V142*20))*0.15,0)</x:f>
        <x:v>63</x:v>
      </x:c>
      <x:c r="AG142" s="13" t="str">
        <x:f>IF(AF142&gt;=80,"Batch 1",IF(AF142&gt;=70,"Batch 2",IF(AF142&gt;=60,"Batch 3","Backlog")))</x:f>
        <x:v>Batch 3</x:v>
      </x:c>
      <x:c r="AH142" t="inlineStr">
        <x:is>
          <x:t xml:space="preserve"/>
        </x:is>
      </x:c>
    </x:row>
    <x:row r="143">
      <x:c r="A143" s="5" t="inlineStr">
        <x:is>
          <x:t xml:space="preserve">GPO-PER-08</x:t>
        </x:is>
      </x:c>
      <x:c r="B143" s="5" t="n">
        <x:v>139</x:v>
      </x:c>
      <x:c r="C143" s="5" t="inlineStr">
        <x:is>
          <x:t xml:space="preserve">Personal Finance &amp; Investing</x:t>
        </x:is>
      </x:c>
      <x:c r="D143" s="5" t="inlineStr">
        <x:is>
          <x:t xml:space="preserve">Money</x:t>
        </x:is>
      </x:c>
      <x:c r="E143" s="5" t="inlineStr">
        <x:is>
          <x:t xml:space="preserve">Core 150</x:t>
        </x:is>
      </x:c>
      <x:c r="F143" s="5" t="n">
        <x:v>8</x:v>
      </x:c>
      <x:c r="G143" s="5" t="inlineStr">
        <x:is>
          <x:t xml:space="preserve">Create a step-by-step emergency fund and cash reserve plan.</x:t>
        </x:is>
      </x:c>
      <x:c r="H143" s="6" t="n">
        <x:v>58</x:v>
      </x:c>
      <x:c r="I143" s="6" t="n">
        <x:v>58</x:v>
      </x:c>
      <x:c r="J143" s="7" t="n">
        <x:v>72</x:v>
      </x:c>
      <x:c r="K143" s="7" t="n">
        <x:v>64</x:v>
      </x:c>
      <x:c r="L143" s="8" t="inlineStr">
        <x:is>
          <x:t xml:space="preserve">UNTESTED</x:t>
        </x:is>
      </x:c>
      <x:c r="M143" s="9" t="inlineStr">
        <x:is>
          <x:t xml:space="preserve">UNTESTED</x:t>
        </x:is>
      </x:c>
      <x:c r="N143" s="5" t="inlineStr">
        <x:is>
          <x:t xml:space="preserve">scenario modeling; budgeting; portfolio reasoning; decision framing</x:t>
        </x:is>
      </x:c>
      <x:c r="O143" s="5" t="inlineStr">
        <x:is>
          <x:t xml:space="preserve">Medium</x:t>
        </x:is>
      </x:c>
      <x:c r="P143" s="5" t="inlineStr">
        <x:is>
          <x:t xml:space="preserve">High</x:t>
        </x:is>
      </x:c>
      <x:c r="Q143" s="5" t="inlineStr">
        <x:is>
          <x:t xml:space="preserve">Medium</x:t>
        </x:is>
      </x:c>
      <x:c r="R143" s="5" t="inlineStr">
        <x:is>
          <x:t xml:space="preserve">Low</x:t>
        </x:is>
      </x:c>
      <x:c r="S143" s="5" t="inlineStr">
        <x:is>
          <x:t xml:space="preserve">Medium</x:t>
        </x:is>
      </x:c>
      <x:c r="T143" s="5" t="inlineStr">
        <x:is>
          <x:t xml:space="preserve">ChatGPT or Claude with spreadsheet support</x:t>
        </x:is>
      </x:c>
      <x:c r="U143" s="5" t="inlineStr">
        <x:is>
          <x:t xml:space="preserve">Easy</x:t>
        </x:is>
      </x:c>
      <x:c r="V143" s="10" t="n">
        <x:v>1</x:v>
      </x:c>
      <x:c r="W143" s="5" t="inlineStr">
        <x:is>
          <x:t xml:space="preserve">Scenario modeling + coherence review</x:t>
        </x:is>
      </x:c>
      <x:c r="X143" s="5" t="inlineStr">
        <x:is>
          <x:t xml:space="preserve">budget / model / plan / recommendation</x:t>
        </x:is>
      </x:c>
      <x:c r="Y143" s="5" t="inlineStr">
        <x:is>
          <x:t xml:space="preserve">Advice is numerically coherent, practical, and transparent about assumptions.</x:t>
        </x:is>
      </x:c>
      <x:c r="Z143" s="5" t="inlineStr">
        <x:is>
          <x:t xml:space="preserve">Bad math, missing assumptions, or overconfident investment guidance.</x:t>
        </x:is>
      </x:c>
      <x:c r="AA143" s="5" t="inlineStr">
        <x:is>
          <x:t xml:space="preserve">financial calculator / assumption schema / spreadsheet outputs</x:t>
        </x:is>
      </x:c>
      <x:c r="AB143" s="5" t="inlineStr">
        <x:is>
          <x:t xml:space="preserve"/>
        </x:is>
      </x:c>
      <x:c r="AC143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43" s="5" t="inlineStr">
        <x:is>
          <x:t xml:space="preserve">FNBO Financial Wellbeing Study 2025; NerdWallet/Harris Poll 2026; PlanAdviser 2026</x:t>
        </x:is>
      </x:c>
      <x:c r="AE143" s="11">
        <x:f>IF(O143="High",20,IF(O143="Medium",10,IF(O143="Low",5,0)))+IF(P143="High",20,IF(P143="Medium",10,IF(P143="Low",5,0)))+IF(Q143="High",20,IF(Q143="Medium",10,IF(Q143="Low",5,0)))+IF(R143="High",20,IF(R143="Medium",10,IF(R143="Low",5,0)))+IF(S143="High",20,IF(S143="Medium",10,IF(S143="Low",5,0)))</x:f>
        <x:v>55</x:v>
      </x:c>
      <x:c r="AF143" s="12">
        <x:f>ROUND(H143*0.30+J143*0.25+K143*0.20+(100-AE143)*0.10+(100-(V143*20))*0.15,0)</x:f>
        <x:v>65</x:v>
      </x:c>
      <x:c r="AG143" s="13" t="str">
        <x:f>IF(AF143&gt;=80,"Batch 1",IF(AF143&gt;=70,"Batch 2",IF(AF143&gt;=60,"Batch 3","Backlog")))</x:f>
        <x:v>Batch 3</x:v>
      </x:c>
      <x:c r="AH143" t="inlineStr">
        <x:is>
          <x:t xml:space="preserve"/>
        </x:is>
      </x:c>
    </x:row>
    <x:row r="144">
      <x:c r="A144" s="5" t="inlineStr">
        <x:is>
          <x:t xml:space="preserve">GPO-WRI-19</x:t>
        </x:is>
      </x:c>
      <x:c r="B144" s="5" t="n">
        <x:v>140</x:v>
      </x:c>
      <x:c r="C144" s="5" t="inlineStr">
        <x:is>
          <x:t xml:space="preserve">Writing &amp; Documentation</x:t>
        </x:is>
      </x:c>
      <x:c r="D144" s="5" t="inlineStr">
        <x:is>
          <x:t xml:space="preserve">Create</x:t>
        </x:is>
      </x:c>
      <x:c r="E144" s="5" t="inlineStr">
        <x:is>
          <x:t xml:space="preserve">Expansion 150</x:t>
        </x:is>
      </x:c>
      <x:c r="F144" s="5" t="n">
        <x:v>19</x:v>
      </x:c>
      <x:c r="G144" s="5" t="inlineStr">
        <x:is>
          <x:t xml:space="preserve">Turn this idea dump into a coherent content calendar for the channel.</x:t>
        </x:is>
      </x:c>
      <x:c r="H144" s="6" t="n">
        <x:v>52</x:v>
      </x:c>
      <x:c r="I144" s="6" t="n">
        <x:v>52</x:v>
      </x:c>
      <x:c r="J144" s="7" t="n">
        <x:v>80</x:v>
      </x:c>
      <x:c r="K144" s="7" t="n">
        <x:v>65</x:v>
      </x:c>
      <x:c r="L144" s="8" t="inlineStr">
        <x:is>
          <x:t xml:space="preserve">UNTESTED</x:t>
        </x:is>
      </x:c>
      <x:c r="M144" s="9" t="inlineStr">
        <x:is>
          <x:t xml:space="preserve">UNTESTED</x:t>
        </x:is>
      </x:c>
      <x:c r="N144" s="5" t="inlineStr">
        <x:is>
          <x:t xml:space="preserve">writing quality; summarization; style control; structured artifacts</x:t>
        </x:is>
      </x:c>
      <x:c r="O144" s="5" t="inlineStr">
        <x:is>
          <x:t xml:space="preserve">Low</x:t>
        </x:is>
      </x:c>
      <x:c r="P144" s="5" t="inlineStr">
        <x:is>
          <x:t xml:space="preserve">Medium</x:t>
        </x:is>
      </x:c>
      <x:c r="Q144" s="5" t="inlineStr">
        <x:is>
          <x:t xml:space="preserve">Low</x:t>
        </x:is>
      </x:c>
      <x:c r="R144" s="5" t="inlineStr">
        <x:is>
          <x:t xml:space="preserve">Low</x:t>
        </x:is>
      </x:c>
      <x:c r="S144" s="5" t="inlineStr">
        <x:is>
          <x:t xml:space="preserve">Low</x:t>
        </x:is>
      </x:c>
      <x:c r="T144" s="5" t="inlineStr">
        <x:is>
          <x:t xml:space="preserve">ChatGPT or Claude; human review optional</x:t>
        </x:is>
      </x:c>
      <x:c r="U144" s="5" t="inlineStr">
        <x:is>
          <x:t xml:space="preserve">Easy</x:t>
        </x:is>
      </x:c>
      <x:c r="V144" s="10" t="n">
        <x:v>1</x:v>
      </x:c>
      <x:c r="W144" s="5" t="inlineStr">
        <x:is>
          <x:t xml:space="preserve">Prompt execution + artifact quality review</x:t>
        </x:is>
      </x:c>
      <x:c r="X144" s="5" t="inlineStr">
        <x:is>
          <x:t xml:space="preserve">doc / memo / email / FAQ / summary</x:t>
        </x:is>
      </x:c>
      <x:c r="Y144" s="5" t="inlineStr">
        <x:is>
          <x:t xml:space="preserve">Output is clear, tailored, structurally sound, and immediately usable.</x:t>
        </x:is>
      </x:c>
      <x:c r="Z144" s="5" t="inlineStr">
        <x:is>
          <x:t xml:space="preserve">Generic tone, missing context, weak structure, or wrong audience level.</x:t>
        </x:is>
      </x:c>
      <x:c r="AA144" s="5" t="inlineStr">
        <x:is>
          <x:t xml:space="preserve">prompt pack / style guidance / output schema</x:t>
        </x:is>
      </x:c>
      <x:c r="AB144" s="5" t="inlineStr">
        <x:is>
          <x:t xml:space="preserve"/>
        </x:is>
      </x:c>
      <x:c r="AC144" s="5" t="inlineStr">
        <x:is>
          <x:t xml:space="preserve">OpenAI usage paper: Writing is in top 3 categories; Menlo consumer AI says 19% use AI to write emails and 18% get writing support.</x:t>
        </x:is>
      </x:c>
      <x:c r="AD144" s="5" t="inlineStr">
        <x:is>
          <x:t xml:space="preserve">OpenAI How People Use ChatGPT paper; Menlo State of Consumer AI 2025</x:t>
        </x:is>
      </x:c>
      <x:c r="AE144" s="11">
        <x:f>IF(O144="High",20,IF(O144="Medium",10,IF(O144="Low",5,0)))+IF(P144="High",20,IF(P144="Medium",10,IF(P144="Low",5,0)))+IF(Q144="High",20,IF(Q144="Medium",10,IF(Q144="Low",5,0)))+IF(R144="High",20,IF(R144="Medium",10,IF(R144="Low",5,0)))+IF(S144="High",20,IF(S144="Medium",10,IF(S144="Low",5,0)))</x:f>
        <x:v>30</x:v>
      </x:c>
      <x:c r="AF144" s="12">
        <x:f>ROUND(H144*0.30+J144*0.25+K144*0.20+(100-AE144)*0.10+(100-(V144*20))*0.15,0)</x:f>
        <x:v>68</x:v>
      </x:c>
      <x:c r="AG144" s="13" t="str">
        <x:f>IF(AF144&gt;=80,"Batch 1",IF(AF144&gt;=70,"Batch 2",IF(AF144&gt;=60,"Batch 3","Backlog")))</x:f>
        <x:v>Batch 3</x:v>
      </x:c>
      <x:c r="AH144" t="inlineStr">
        <x:is>
          <x:t xml:space="preserve"/>
        </x:is>
      </x:c>
    </x:row>
    <x:row r="145">
      <x:c r="A145" s="5" t="inlineStr">
        <x:is>
          <x:t xml:space="preserve">GPO-SCH-15</x:t>
        </x:is>
      </x:c>
      <x:c r="B145" s="5" t="n">
        <x:v>141</x:v>
      </x:c>
      <x:c r="C145" s="5" t="inlineStr">
        <x:is>
          <x:t xml:space="preserve">Scheduling &amp; Life Operations</x:t>
        </x:is>
      </x:c>
      <x:c r="D145" s="5" t="inlineStr">
        <x:is>
          <x:t xml:space="preserve">Operate</x:t>
        </x:is>
      </x:c>
      <x:c r="E145" s="5" t="inlineStr">
        <x:is>
          <x:t xml:space="preserve">Expansion 150</x:t>
        </x:is>
      </x:c>
      <x:c r="F145" s="5" t="n">
        <x:v>15</x:v>
      </x:c>
      <x:c r="G145" s="5" t="inlineStr">
        <x:is>
          <x:t xml:space="preserve">Design a family/home/personal admin dashboard for bills, renewals, and tasks.</x:t>
        </x:is>
      </x:c>
      <x:c r="H145" s="6" t="n">
        <x:v>55</x:v>
      </x:c>
      <x:c r="I145" s="6" t="n">
        <x:v>55</x:v>
      </x:c>
      <x:c r="J145" s="7" t="n">
        <x:v>75</x:v>
      </x:c>
      <x:c r="K145" s="7" t="n">
        <x:v>64</x:v>
      </x:c>
      <x:c r="L145" s="8" t="inlineStr">
        <x:is>
          <x:t xml:space="preserve">UNTESTED</x:t>
        </x:is>
      </x:c>
      <x:c r="M145" s="9" t="inlineStr">
        <x:is>
          <x:t xml:space="preserve">UNTESTED</x:t>
        </x:is>
      </x:c>
      <x:c r="N145" s="5" t="inlineStr">
        <x:is>
          <x:t xml:space="preserve">task planning; prioritization; calendar reasoning; personal constraints handling</x:t>
        </x:is>
      </x:c>
      <x:c r="O145" s="5" t="inlineStr">
        <x:is>
          <x:t xml:space="preserve">Low</x:t>
        </x:is>
      </x:c>
      <x:c r="P145" s="5" t="inlineStr">
        <x:is>
          <x:t xml:space="preserve">High</x:t>
        </x:is>
      </x:c>
      <x:c r="Q145" s="5" t="inlineStr">
        <x:is>
          <x:t xml:space="preserve">Medium</x:t>
        </x:is>
      </x:c>
      <x:c r="R145" s="5" t="inlineStr">
        <x:is>
          <x:t xml:space="preserve">Low</x:t>
        </x:is>
      </x:c>
      <x:c r="S145" s="5" t="inlineStr">
        <x:is>
          <x:t xml:space="preserve">Low</x:t>
        </x:is>
      </x:c>
      <x:c r="T145" s="5" t="inlineStr">
        <x:is>
          <x:t xml:space="preserve">ChatGPT primary; calendar integrations later</x:t>
        </x:is>
      </x:c>
      <x:c r="U145" s="5" t="inlineStr">
        <x:is>
          <x:t xml:space="preserve">Easy</x:t>
        </x:is>
      </x:c>
      <x:c r="V145" s="10" t="n">
        <x:v>1</x:v>
      </x:c>
      <x:c r="W145" s="5" t="inlineStr">
        <x:is>
          <x:t xml:space="preserve">Scenario-based planning + operator utility review</x:t>
        </x:is>
      </x:c>
      <x:c r="X145" s="5" t="inlineStr">
        <x:is>
          <x:t xml:space="preserve">schedule / checklist / operating plan</x:t>
        </x:is>
      </x:c>
      <x:c r="Y145" s="5" t="inlineStr">
        <x:is>
          <x:t xml:space="preserve">Plan is realistic, prioritized, and executable under stated constraints.</x:t>
        </x:is>
      </x:c>
      <x:c r="Z145" s="5" t="inlineStr">
        <x:is>
          <x:t xml:space="preserve">Overpacked schedule, ignored constraints, or vague next steps.</x:t>
        </x:is>
      </x:c>
      <x:c r="AA145" s="5" t="inlineStr">
        <x:is>
          <x:t xml:space="preserve">planner engine / memory / calendar-tool integration</x:t>
        </x:is>
      </x:c>
      <x:c r="AB145" s="5" t="inlineStr">
        <x:is>
          <x:t xml:space="preserve"/>
        </x:is>
      </x:c>
      <x:c r="AC145" s="5" t="inlineStr">
        <x:is>
          <x:t xml:space="preserve">Menlo consumer AI: 18% use AI to manage to-do lists and 15% to organize notes; Zao-Sanders ranked 'Organise my life' #2.</x:t>
        </x:is>
      </x:c>
      <x:c r="AD145" s="5" t="inlineStr">
        <x:is>
          <x:t xml:space="preserve">Menlo State of Consumer AI 2025; Zao-Sanders Top-100 GenAI Use Cases 2025</x:t>
        </x:is>
      </x:c>
      <x:c r="AE145" s="11">
        <x:f>IF(O145="High",20,IF(O145="Medium",10,IF(O145="Low",5,0)))+IF(P145="High",20,IF(P145="Medium",10,IF(P145="Low",5,0)))+IF(Q145="High",20,IF(Q145="Medium",10,IF(Q145="Low",5,0)))+IF(R145="High",20,IF(R145="Medium",10,IF(R145="Low",5,0)))+IF(S145="High",20,IF(S145="Medium",10,IF(S145="Low",5,0)))</x:f>
        <x:v>45</x:v>
      </x:c>
      <x:c r="AF145" s="12">
        <x:f>ROUND(H145*0.30+J145*0.25+K145*0.20+(100-AE145)*0.10+(100-(V145*20))*0.15,0)</x:f>
        <x:v>66</x:v>
      </x:c>
      <x:c r="AG145" s="13" t="str">
        <x:f>IF(AF145&gt;=80,"Batch 1",IF(AF145&gt;=70,"Batch 2",IF(AF145&gt;=60,"Batch 3","Backlog")))</x:f>
        <x:v>Batch 3</x:v>
      </x:c>
      <x:c r="AH145" t="inlineStr">
        <x:is>
          <x:t xml:space="preserve"/>
        </x:is>
      </x:c>
    </x:row>
    <x:row r="146">
      <x:c r="A146" s="5" t="inlineStr">
        <x:is>
          <x:t xml:space="preserve">GPO-SCR-04</x:t>
        </x:is>
      </x:c>
      <x:c r="B146" s="5" t="n">
        <x:v>142</x:v>
      </x:c>
      <x:c r="C146" s="5" t="inlineStr">
        <x:is>
          <x:t xml:space="preserve">Screenwriting &amp; Story Development</x:t>
        </x:is>
      </x:c>
      <x:c r="D146" s="5" t="inlineStr">
        <x:is>
          <x:t xml:space="preserve">Create</x:t>
        </x:is>
      </x:c>
      <x:c r="E146" s="5" t="inlineStr">
        <x:is>
          <x:t xml:space="preserve">Core 150</x:t>
        </x:is>
      </x:c>
      <x:c r="F146" s="5" t="n">
        <x:v>4</x:v>
      </x:c>
      <x:c r="G146" s="5" t="inlineStr">
        <x:is>
          <x:t xml:space="preserve">Write scene-by-scene beats for this story with emotional and plot logic.</x:t>
        </x:is>
      </x:c>
      <x:c r="H146" s="6" t="n">
        <x:v>55</x:v>
      </x:c>
      <x:c r="I146" s="6" t="n">
        <x:v>55</x:v>
      </x:c>
      <x:c r="J146" s="7" t="n">
        <x:v>75</x:v>
      </x:c>
      <x:c r="K146" s="7" t="n">
        <x:v>64</x:v>
      </x:c>
      <x:c r="L146" s="8" t="inlineStr">
        <x:is>
          <x:t xml:space="preserve">UNTESTED</x:t>
        </x:is>
      </x:c>
      <x:c r="M146" s="9" t="inlineStr">
        <x:is>
          <x:t xml:space="preserve">UNTESTED</x:t>
        </x:is>
      </x:c>
      <x:c r="N146" s="5" t="inlineStr">
        <x:is>
          <x:t xml:space="preserve">creative ideation; story structure; tone control; character design</x:t>
        </x:is>
      </x:c>
      <x:c r="O146" s="5" t="inlineStr">
        <x:is>
          <x:t xml:space="preserve">Low</x:t>
        </x:is>
      </x:c>
      <x:c r="P146" s="5" t="inlineStr">
        <x:is>
          <x:t xml:space="preserve">Medium</x:t>
        </x:is>
      </x:c>
      <x:c r="Q146" s="5" t="inlineStr">
        <x:is>
          <x:t xml:space="preserve">Low</x:t>
        </x:is>
      </x:c>
      <x:c r="R146" s="5" t="inlineStr">
        <x:is>
          <x:t xml:space="preserve">Low</x:t>
        </x:is>
      </x:c>
      <x:c r="S146" s="5" t="inlineStr">
        <x:is>
          <x:t xml:space="preserve">Low</x:t>
        </x:is>
      </x:c>
      <x:c r="T146" s="5" t="inlineStr">
        <x:is>
          <x:t xml:space="preserve">ChatGPT or Claude creative mode</x:t>
        </x:is>
      </x:c>
      <x:c r="U146" s="5" t="inlineStr">
        <x:is>
          <x:t xml:space="preserve">Easy</x:t>
        </x:is>
      </x:c>
      <x:c r="V146" s="10" t="n">
        <x:v>1</x:v>
      </x:c>
      <x:c r="W146" s="5" t="inlineStr">
        <x:is>
          <x:t xml:space="preserve">Creative prompt run + human taste review</x:t>
        </x:is>
      </x:c>
      <x:c r="X146" s="5" t="inlineStr">
        <x:is>
          <x:t xml:space="preserve">logline / outline / scene rewrite / treatment</x:t>
        </x:is>
      </x:c>
      <x:c r="Y146" s="5" t="inlineStr">
        <x:is>
          <x:t xml:space="preserve">Story work feels coherent, original, and emotionally alive.</x:t>
        </x:is>
      </x:c>
      <x:c r="Z146" s="5" t="inlineStr">
        <x:is>
          <x:t xml:space="preserve">Cliche ideas, flat dialogue, weak stakes, or no tonal discipline.</x:t>
        </x:is>
      </x:c>
      <x:c r="AA146" s="5" t="inlineStr">
        <x:is>
          <x:t xml:space="preserve">creative mode / style packs / development workflow</x:t>
        </x:is>
      </x:c>
      <x:c r="AB146" s="5" t="inlineStr">
        <x:is>
          <x:t xml:space="preserve"/>
        </x:is>
      </x:c>
      <x:c r="AC146" s="5" t="inlineStr">
        <x:is>
          <x:t xml:space="preserve">OpenAI practical guidance includes creative ideation; creator surveys show broad use of generative AI in creative workflows.</x:t>
        </x:is>
      </x:c>
      <x:c r="AD146" s="5" t="inlineStr">
        <x:is>
          <x:t xml:space="preserve">OpenAI How People Use ChatGPT paper; Adobe creators survey 2025; Wondercraft/Digiday creator workflow survey 2025</x:t>
        </x:is>
      </x:c>
      <x:c r="AE146" s="11">
        <x:f>IF(O146="High",20,IF(O146="Medium",10,IF(O146="Low",5,0)))+IF(P146="High",20,IF(P146="Medium",10,IF(P146="Low",5,0)))+IF(Q146="High",20,IF(Q146="Medium",10,IF(Q146="Low",5,0)))+IF(R146="High",20,IF(R146="Medium",10,IF(R146="Low",5,0)))+IF(S146="High",20,IF(S146="Medium",10,IF(S146="Low",5,0)))</x:f>
        <x:v>30</x:v>
      </x:c>
      <x:c r="AF146" s="12">
        <x:f>ROUND(H146*0.30+J146*0.25+K146*0.20+(100-AE146)*0.10+(100-(V146*20))*0.15,0)</x:f>
        <x:v>67</x:v>
      </x:c>
      <x:c r="AG146" s="13" t="str">
        <x:f>IF(AF146&gt;=80,"Batch 1",IF(AF146&gt;=70,"Batch 2",IF(AF146&gt;=60,"Batch 3","Backlog")))</x:f>
        <x:v>Batch 3</x:v>
      </x:c>
      <x:c r="AH146" t="inlineStr">
        <x:is>
          <x:t xml:space="preserve"/>
        </x:is>
      </x:c>
    </x:row>
    <x:row r="147">
      <x:c r="A147" s="5" t="inlineStr">
        <x:is>
          <x:t xml:space="preserve">GPO-SHO-13</x:t>
        </x:is>
      </x:c>
      <x:c r="B147" s="5" t="n">
        <x:v>143</x:v>
      </x:c>
      <x:c r="C147" s="5" t="inlineStr">
        <x:is>
          <x:t xml:space="preserve">Shopping &amp; Buying Advisor</x:t>
        </x:is>
      </x:c>
      <x:c r="D147" s="5" t="inlineStr">
        <x:is>
          <x:t xml:space="preserve">Buy</x:t>
        </x:is>
      </x:c>
      <x:c r="E147" s="5" t="inlineStr">
        <x:is>
          <x:t xml:space="preserve">Expansion 150</x:t>
        </x:is>
      </x:c>
      <x:c r="F147" s="5" t="n">
        <x:v>13</x:v>
      </x:c>
      <x:c r="G147" s="5" t="inlineStr">
        <x:is>
          <x:t xml:space="preserve">Find products that fit my ecosystem, privacy preferences, and design taste.</x:t>
        </x:is>
      </x:c>
      <x:c r="H147" s="6" t="n">
        <x:v>55</x:v>
      </x:c>
      <x:c r="I147" s="6" t="n">
        <x:v>55</x:v>
      </x:c>
      <x:c r="J147" s="7" t="n">
        <x:v>75</x:v>
      </x:c>
      <x:c r="K147" s="7" t="n">
        <x:v>64</x:v>
      </x:c>
      <x:c r="L147" s="8" t="inlineStr">
        <x:is>
          <x:t xml:space="preserve">UNTESTED</x:t>
        </x:is>
      </x:c>
      <x:c r="M147" s="9" t="inlineStr">
        <x:is>
          <x:t xml:space="preserve">UNTESTED</x:t>
        </x:is>
      </x:c>
      <x:c r="N147" s="5" t="inlineStr">
        <x:is>
          <x:t xml:space="preserve">web/product research; comparison; price-value reasoning; shortlist generation</x:t>
        </x:is>
      </x:c>
      <x:c r="O147" s="5" t="inlineStr">
        <x:is>
          <x:t xml:space="preserve">High</x:t>
        </x:is>
      </x:c>
      <x:c r="P147" s="5" t="inlineStr">
        <x:is>
          <x:t xml:space="preserve">Medium</x:t>
        </x:is>
      </x:c>
      <x:c r="Q147" s="5" t="inlineStr">
        <x:is>
          <x:t xml:space="preserve">Medium</x:t>
        </x:is>
      </x:c>
      <x:c r="R147" s="5" t="inlineStr">
        <x:is>
          <x:t xml:space="preserve">Low</x:t>
        </x:is>
      </x:c>
      <x:c r="S147" s="5" t="inlineStr">
        <x:is>
          <x:t xml:space="preserve">Low</x:t>
        </x:is>
      </x:c>
      <x:c r="T147" s="5" t="inlineStr">
        <x:is>
          <x:t xml:space="preserve">ChatGPT with web</x:t>
        </x:is>
      </x:c>
      <x:c r="U147" s="5" t="inlineStr">
        <x:is>
          <x:t xml:space="preserve">Easy</x:t>
        </x:is>
      </x:c>
      <x:c r="V147" s="10" t="n">
        <x:v>1</x:v>
      </x:c>
      <x:c r="W147" s="5" t="inlineStr">
        <x:is>
          <x:t xml:space="preserve">Live shopping query + recommendation validation</x:t>
        </x:is>
      </x:c>
      <x:c r="X147" s="5" t="inlineStr">
        <x:is>
          <x:t xml:space="preserve">shortlist / recommendation / comparison / cart plan</x:t>
        </x:is>
      </x:c>
      <x:c r="Y147" s="5" t="inlineStr">
        <x:is>
          <x:t xml:space="preserve">Recommendation fits constraints and explains tradeoffs clearly.</x:t>
        </x:is>
      </x:c>
      <x:c r="Z147" s="5" t="inlineStr">
        <x:is>
          <x:t xml:space="preserve">Outdated products, poor fit, missed constraints, or shallow comparison.</x:t>
        </x:is>
      </x:c>
      <x:c r="AA147" s="5" t="inlineStr">
        <x:is>
          <x:t xml:space="preserve">web/product retrieval / comparison template / user preference memory</x:t>
        </x:is>
      </x:c>
      <x:c r="AB147" s="5" t="inlineStr">
        <x:is>
          <x:t xml:space="preserve"/>
        </x:is>
      </x:c>
      <x:c r="AC147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47" s="5" t="inlineStr">
        <x:is>
          <x:t xml:space="preserve">Deloitte Connected Consumer 2025; Salesforce Connected Shopper 2025; IAB 2025 shopping study</x:t>
        </x:is>
      </x:c>
      <x:c r="AE147" s="11">
        <x:f>IF(O147="High",20,IF(O147="Medium",10,IF(O147="Low",5,0)))+IF(P147="High",20,IF(P147="Medium",10,IF(P147="Low",5,0)))+IF(Q147="High",20,IF(Q147="Medium",10,IF(Q147="Low",5,0)))+IF(R147="High",20,IF(R147="Medium",10,IF(R147="Low",5,0)))+IF(S147="High",20,IF(S147="Medium",10,IF(S147="Low",5,0)))</x:f>
        <x:v>50</x:v>
      </x:c>
      <x:c r="AF147" s="12">
        <x:f>ROUND(H147*0.30+J147*0.25+K147*0.20+(100-AE147)*0.10+(100-(V147*20))*0.15,0)</x:f>
        <x:v>65</x:v>
      </x:c>
      <x:c r="AG147" s="13" t="str">
        <x:f>IF(AF147&gt;=80,"Batch 1",IF(AF147&gt;=70,"Batch 2",IF(AF147&gt;=60,"Batch 3","Backlog")))</x:f>
        <x:v>Batch 3</x:v>
      </x:c>
      <x:c r="AH147" t="inlineStr">
        <x:is>
          <x:t xml:space="preserve"/>
        </x:is>
      </x:c>
    </x:row>
    <x:row r="148">
      <x:c r="A148" s="5" t="inlineStr">
        <x:is>
          <x:t xml:space="preserve">GPO-PER-09</x:t>
        </x:is>
      </x:c>
      <x:c r="B148" s="5" t="n">
        <x:v>144</x:v>
      </x:c>
      <x:c r="C148" s="5" t="inlineStr">
        <x:is>
          <x:t xml:space="preserve">Personal Finance &amp; Investing</x:t>
        </x:is>
      </x:c>
      <x:c r="D148" s="5" t="inlineStr">
        <x:is>
          <x:t xml:space="preserve">Money</x:t>
        </x:is>
      </x:c>
      <x:c r="E148" s="5" t="inlineStr">
        <x:is>
          <x:t xml:space="preserve">Core 150</x:t>
        </x:is>
      </x:c>
      <x:c r="F148" s="5" t="n">
        <x:v>9</x:v>
      </x:c>
      <x:c r="G148" s="5" t="inlineStr">
        <x:is>
          <x:t xml:space="preserve">Help me plan a major purchase so it doesn’t wreck my financial trajectory.</x:t>
        </x:is>
      </x:c>
      <x:c r="H148" s="6" t="n">
        <x:v>57</x:v>
      </x:c>
      <x:c r="I148" s="6" t="n">
        <x:v>57</x:v>
      </x:c>
      <x:c r="J148" s="7" t="n">
        <x:v>72</x:v>
      </x:c>
      <x:c r="K148" s="7" t="n">
        <x:v>64</x:v>
      </x:c>
      <x:c r="L148" s="8" t="inlineStr">
        <x:is>
          <x:t xml:space="preserve">UNTESTED</x:t>
        </x:is>
      </x:c>
      <x:c r="M148" s="9" t="inlineStr">
        <x:is>
          <x:t xml:space="preserve">UNTESTED</x:t>
        </x:is>
      </x:c>
      <x:c r="N148" s="5" t="inlineStr">
        <x:is>
          <x:t xml:space="preserve">scenario modeling; budgeting; portfolio reasoning; decision framing</x:t>
        </x:is>
      </x:c>
      <x:c r="O148" s="5" t="inlineStr">
        <x:is>
          <x:t xml:space="preserve">Medium</x:t>
        </x:is>
      </x:c>
      <x:c r="P148" s="5" t="inlineStr">
        <x:is>
          <x:t xml:space="preserve">High</x:t>
        </x:is>
      </x:c>
      <x:c r="Q148" s="5" t="inlineStr">
        <x:is>
          <x:t xml:space="preserve">Medium</x:t>
        </x:is>
      </x:c>
      <x:c r="R148" s="5" t="inlineStr">
        <x:is>
          <x:t xml:space="preserve">Low</x:t>
        </x:is>
      </x:c>
      <x:c r="S148" s="5" t="inlineStr">
        <x:is>
          <x:t xml:space="preserve">Medium</x:t>
        </x:is>
      </x:c>
      <x:c r="T148" s="5" t="inlineStr">
        <x:is>
          <x:t xml:space="preserve">ChatGPT or Claude with spreadsheet support</x:t>
        </x:is>
      </x:c>
      <x:c r="U148" s="5" t="inlineStr">
        <x:is>
          <x:t xml:space="preserve">Easy</x:t>
        </x:is>
      </x:c>
      <x:c r="V148" s="10" t="n">
        <x:v>1</x:v>
      </x:c>
      <x:c r="W148" s="5" t="inlineStr">
        <x:is>
          <x:t xml:space="preserve">Scenario modeling + coherence review</x:t>
        </x:is>
      </x:c>
      <x:c r="X148" s="5" t="inlineStr">
        <x:is>
          <x:t xml:space="preserve">budget / model / plan / recommendation</x:t>
        </x:is>
      </x:c>
      <x:c r="Y148" s="5" t="inlineStr">
        <x:is>
          <x:t xml:space="preserve">Advice is numerically coherent, practical, and transparent about assumptions.</x:t>
        </x:is>
      </x:c>
      <x:c r="Z148" s="5" t="inlineStr">
        <x:is>
          <x:t xml:space="preserve">Bad math, missing assumptions, or overconfident investment guidance.</x:t>
        </x:is>
      </x:c>
      <x:c r="AA148" s="5" t="inlineStr">
        <x:is>
          <x:t xml:space="preserve">financial calculator / assumption schema / spreadsheet outputs</x:t>
        </x:is>
      </x:c>
      <x:c r="AB148" s="5" t="inlineStr">
        <x:is>
          <x:t xml:space="preserve"/>
        </x:is>
      </x:c>
      <x:c r="AC148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48" s="5" t="inlineStr">
        <x:is>
          <x:t xml:space="preserve">FNBO Financial Wellbeing Study 2025; NerdWallet/Harris Poll 2026; PlanAdviser 2026</x:t>
        </x:is>
      </x:c>
      <x:c r="AE148" s="11">
        <x:f>IF(O148="High",20,IF(O148="Medium",10,IF(O148="Low",5,0)))+IF(P148="High",20,IF(P148="Medium",10,IF(P148="Low",5,0)))+IF(Q148="High",20,IF(Q148="Medium",10,IF(Q148="Low",5,0)))+IF(R148="High",20,IF(R148="Medium",10,IF(R148="Low",5,0)))+IF(S148="High",20,IF(S148="Medium",10,IF(S148="Low",5,0)))</x:f>
        <x:v>55</x:v>
      </x:c>
      <x:c r="AF148" s="12">
        <x:f>ROUND(H148*0.30+J148*0.25+K148*0.20+(100-AE148)*0.10+(100-(V148*20))*0.15,0)</x:f>
        <x:v>64</x:v>
      </x:c>
      <x:c r="AG148" s="13" t="str">
        <x:f>IF(AF148&gt;=80,"Batch 1",IF(AF148&gt;=70,"Batch 2",IF(AF148&gt;=60,"Batch 3","Backlog")))</x:f>
        <x:v>Batch 3</x:v>
      </x:c>
      <x:c r="AH148" t="inlineStr">
        <x:is>
          <x:t xml:space="preserve"/>
        </x:is>
      </x:c>
    </x:row>
    <x:row r="149">
      <x:c r="A149" s="5" t="inlineStr">
        <x:is>
          <x:t xml:space="preserve">GPO-HEA-06</x:t>
        </x:is>
      </x:c>
      <x:c r="B149" s="5" t="n">
        <x:v>145</x:v>
      </x:c>
      <x:c r="C149" s="5" t="inlineStr">
        <x:is>
          <x:t xml:space="preserve">Health &amp; Wellness Coach</x:t>
        </x:is>
      </x:c>
      <x:c r="D149" s="5" t="inlineStr">
        <x:is>
          <x:t xml:space="preserve">Care</x:t>
        </x:is>
      </x:c>
      <x:c r="E149" s="5" t="inlineStr">
        <x:is>
          <x:t xml:space="preserve">Core 150</x:t>
        </x:is>
      </x:c>
      <x:c r="F149" s="5" t="n">
        <x:v>6</x:v>
      </x:c>
      <x:c r="G149" s="5" t="inlineStr">
        <x:is>
          <x:t xml:space="preserve">Create a sleep improvement protocol for someone with {constraints}.</x:t>
        </x:is>
      </x:c>
      <x:c r="H149" s="6" t="n">
        <x:v>67</x:v>
      </x:c>
      <x:c r="I149" s="6" t="n">
        <x:v>67</x:v>
      </x:c>
      <x:c r="J149" s="7" t="n">
        <x:v>58</x:v>
      </x:c>
      <x:c r="K149" s="7" t="n">
        <x:v>63</x:v>
      </x:c>
      <x:c r="L149" s="8" t="inlineStr">
        <x:is>
          <x:t xml:space="preserve">UNTESTED</x:t>
        </x:is>
      </x:c>
      <x:c r="M149" s="9" t="inlineStr">
        <x:is>
          <x:t xml:space="preserve">UNTESTED</x:t>
        </x:is>
      </x:c>
      <x:c r="N149" s="5" t="inlineStr">
        <x:is>
          <x:t xml:space="preserve">health explanation; risk framing; behavior coaching; careful disclaimer handling</x:t>
        </x:is>
      </x:c>
      <x:c r="O149" s="5" t="inlineStr">
        <x:is>
          <x:t xml:space="preserve">Medium</x:t>
        </x:is>
      </x:c>
      <x:c r="P149" s="5" t="inlineStr">
        <x:is>
          <x:t xml:space="preserve">High</x:t>
        </x:is>
      </x:c>
      <x:c r="Q149" s="5" t="inlineStr">
        <x:is>
          <x:t xml:space="preserve">Low</x:t>
        </x:is>
      </x:c>
      <x:c r="R149" s="5" t="inlineStr">
        <x:is>
          <x:t xml:space="preserve">Low</x:t>
        </x:is>
      </x:c>
      <x:c r="S149" s="5" t="inlineStr">
        <x:is>
          <x:t xml:space="preserve">Medium</x:t>
        </x:is>
      </x:c>
      <x:c r="T149" s="5" t="inlineStr">
        <x:is>
          <x:t xml:space="preserve">ChatGPT primary with careful guardrails</x:t>
        </x:is>
      </x:c>
      <x:c r="U149" s="5" t="inlineStr">
        <x:is>
          <x:t xml:space="preserve">Medium</x:t>
        </x:is>
      </x:c>
      <x:c r="V149" s="10" t="n">
        <x:v>2</x:v>
      </x:c>
      <x:c r="W149" s="5" t="inlineStr">
        <x:is>
          <x:t xml:space="preserve">Scenario prompts + safety review + usefulness review</x:t>
        </x:is>
      </x:c>
      <x:c r="X149" s="5" t="inlineStr">
        <x:is>
          <x:t xml:space="preserve">plan / explanation / checklist / prep brief</x:t>
        </x:is>
      </x:c>
      <x:c r="Y149" s="5" t="inlineStr">
        <x:is>
          <x:t xml:space="preserve">Useful, cautious, practical guidance that stays within safe boundaries.</x:t>
        </x:is>
      </x:c>
      <x:c r="Z149" s="5" t="inlineStr">
        <x:is>
          <x:t xml:space="preserve">Overconfident medical claims, weak escalation guidance, or unsafe advice.</x:t>
        </x:is>
      </x:c>
      <x:c r="AA149" s="5" t="inlineStr">
        <x:is>
          <x:t xml:space="preserve">safety layer / health mode / evidence grounding</x:t>
        </x:is>
      </x:c>
      <x:c r="AB149" s="5" t="inlineStr">
        <x:is>
          <x:t xml:space="preserve"/>
        </x:is>
      </x:c>
      <x:c r="AC149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49" s="5" t="inlineStr">
        <x:is>
          <x:t xml:space="preserve">OpenAI Introducing GPT-5; APPC 2025 health survey; Deloitte Connected Consumer 2025</x:t>
        </x:is>
      </x:c>
      <x:c r="AE149" s="11">
        <x:f>IF(O149="High",20,IF(O149="Medium",10,IF(O149="Low",5,0)))+IF(P149="High",20,IF(P149="Medium",10,IF(P149="Low",5,0)))+IF(Q149="High",20,IF(Q149="Medium",10,IF(Q149="Low",5,0)))+IF(R149="High",20,IF(R149="Medium",10,IF(R149="Low",5,0)))+IF(S149="High",20,IF(S149="Medium",10,IF(S149="Low",5,0)))</x:f>
        <x:v>50</x:v>
      </x:c>
      <x:c r="AF149" s="12">
        <x:f>ROUND(H149*0.30+J149*0.25+K149*0.20+(100-AE149)*0.10+(100-(V149*20))*0.15,0)</x:f>
        <x:v>61</x:v>
      </x:c>
      <x:c r="AG149" s="13" t="str">
        <x:f>IF(AF149&gt;=80,"Batch 1",IF(AF149&gt;=70,"Batch 2",IF(AF149&gt;=60,"Batch 3","Backlog")))</x:f>
        <x:v>Batch 3</x:v>
      </x:c>
      <x:c r="AH149" t="inlineStr">
        <x:is>
          <x:t xml:space="preserve"/>
        </x:is>
      </x:c>
    </x:row>
    <x:row r="150">
      <x:c r="A150" s="5" t="inlineStr">
        <x:is>
          <x:t xml:space="preserve">GPO-LEA-17</x:t>
        </x:is>
      </x:c>
      <x:c r="B150" s="5" t="n">
        <x:v>146</x:v>
      </x:c>
      <x:c r="C150" s="5" t="inlineStr">
        <x:is>
          <x:t xml:space="preserve">Learning &amp; Tutoring</x:t>
        </x:is>
      </x:c>
      <x:c r="D150" s="5" t="inlineStr">
        <x:is>
          <x:t xml:space="preserve">Grow</x:t>
        </x:is>
      </x:c>
      <x:c r="E150" s="5" t="inlineStr">
        <x:is>
          <x:t xml:space="preserve">Expansion 150</x:t>
        </x:is>
      </x:c>
      <x:c r="F150" s="5" t="n">
        <x:v>17</x:v>
      </x:c>
      <x:c r="G150" s="5" t="inlineStr">
        <x:is>
          <x:t xml:space="preserve">Review my work/essay/solution and coach me to a higher level.</x:t>
        </x:is>
      </x:c>
      <x:c r="H150" s="6" t="n">
        <x:v>53</x:v>
      </x:c>
      <x:c r="I150" s="6" t="n">
        <x:v>53</x:v>
      </x:c>
      <x:c r="J150" s="7" t="n">
        <x:v>77</x:v>
      </x:c>
      <x:c r="K150" s="7" t="n">
        <x:v>64</x:v>
      </x:c>
      <x:c r="L150" s="8" t="inlineStr">
        <x:is>
          <x:t xml:space="preserve">UNTESTED</x:t>
        </x:is>
      </x:c>
      <x:c r="M150" s="9" t="inlineStr">
        <x:is>
          <x:t xml:space="preserve">UNTESTED</x:t>
        </x:is>
      </x:c>
      <x:c r="N150" s="5" t="inlineStr">
        <x:is>
          <x:t xml:space="preserve">adaptive tutoring; curriculum planning; quiz generation; context retention</x:t>
        </x:is>
      </x:c>
      <x:c r="O150" s="5" t="inlineStr">
        <x:is>
          <x:t xml:space="preserve">Low</x:t>
        </x:is>
      </x:c>
      <x:c r="P150" s="5" t="inlineStr">
        <x:is>
          <x:t xml:space="preserve">High</x:t>
        </x:is>
      </x:c>
      <x:c r="Q150" s="5" t="inlineStr">
        <x:is>
          <x:t xml:space="preserve">Low</x:t>
        </x:is>
      </x:c>
      <x:c r="R150" s="5" t="inlineStr">
        <x:is>
          <x:t xml:space="preserve">Low</x:t>
        </x:is>
      </x:c>
      <x:c r="S150" s="5" t="inlineStr">
        <x:is>
          <x:t xml:space="preserve">Low</x:t>
        </x:is>
      </x:c>
      <x:c r="T150" s="5" t="inlineStr">
        <x:is>
          <x:t xml:space="preserve">ChatGPT primary</x:t>
        </x:is>
      </x:c>
      <x:c r="U150" s="5" t="inlineStr">
        <x:is>
          <x:t xml:space="preserve">Easy</x:t>
        </x:is>
      </x:c>
      <x:c r="V150" s="10" t="n">
        <x:v>1</x:v>
      </x:c>
      <x:c r="W150" s="5" t="inlineStr">
        <x:is>
          <x:t xml:space="preserve">Interactive tutoring session + quality review</x:t>
        </x:is>
      </x:c>
      <x:c r="X150" s="5" t="inlineStr">
        <x:is>
          <x:t xml:space="preserve">lesson / plan / quiz / explanation</x:t>
        </x:is>
      </x:c>
      <x:c r="Y150" s="5" t="inlineStr">
        <x:is>
          <x:t xml:space="preserve">Teaching is accurate, adaptive, and improves understanding rather than over-answering.</x:t>
        </x:is>
      </x:c>
      <x:c r="Z150" s="5" t="inlineStr">
        <x:is>
          <x:t xml:space="preserve">Wrong explanations, over-helping, no adaptation, or generic curriculum.</x:t>
        </x:is>
      </x:c>
      <x:c r="AA150" s="5" t="inlineStr">
        <x:is>
          <x:t xml:space="preserve">tutor mode / memory / scaffolding logic</x:t>
        </x:is>
      </x:c>
      <x:c r="AB150" s="5" t="inlineStr">
        <x:is>
          <x:t xml:space="preserve"/>
        </x:is>
      </x:c>
      <x:c r="AC150" s="5" t="inlineStr">
        <x:is>
          <x:t xml:space="preserve">OpenAI practical guidance includes tutoring; HEPI 2025 says 88% of students use GenAI for assessments, often to explain concepts and summarize articles.</x:t>
        </x:is>
      </x:c>
      <x:c r="AD150" s="5" t="inlineStr">
        <x:is>
          <x:t xml:space="preserve">OpenAI How People Use ChatGPT paper; HEPI Student Generative AI Survey 2025; Brookings 2026 tutoring article</x:t>
        </x:is>
      </x:c>
      <x:c r="AE150" s="11">
        <x:f>IF(O150="High",20,IF(O150="Medium",10,IF(O150="Low",5,0)))+IF(P150="High",20,IF(P150="Medium",10,IF(P150="Low",5,0)))+IF(Q150="High",20,IF(Q150="Medium",10,IF(Q150="Low",5,0)))+IF(R150="High",20,IF(R150="Medium",10,IF(R150="Low",5,0)))+IF(S150="High",20,IF(S150="Medium",10,IF(S150="Low",5,0)))</x:f>
        <x:v>40</x:v>
      </x:c>
      <x:c r="AF150" s="12">
        <x:f>ROUND(H150*0.30+J150*0.25+K150*0.20+(100-AE150)*0.10+(100-(V150*20))*0.15,0)</x:f>
        <x:v>66</x:v>
      </x:c>
      <x:c r="AG150" s="13" t="str">
        <x:f>IF(AF150&gt;=80,"Batch 1",IF(AF150&gt;=70,"Batch 2",IF(AF150&gt;=60,"Batch 3","Backlog")))</x:f>
        <x:v>Batch 3</x:v>
      </x:c>
      <x:c r="AH150" t="inlineStr">
        <x:is>
          <x:t xml:space="preserve"/>
        </x:is>
      </x:c>
    </x:row>
    <x:row r="151">
      <x:c r="A151" s="5" t="inlineStr">
        <x:is>
          <x:t xml:space="preserve">GPO-STA-09</x:t>
        </x:is>
      </x:c>
      <x:c r="B151" s="5" t="n">
        <x:v>147</x:v>
      </x:c>
      <x:c r="C151" s="5" t="inlineStr">
        <x:is>
          <x:t xml:space="preserve">Startup &amp; Business Builder</x:t>
        </x:is>
      </x:c>
      <x:c r="D151" s="5" t="inlineStr">
        <x:is>
          <x:t xml:space="preserve">Build</x:t>
        </x:is>
      </x:c>
      <x:c r="E151" s="5" t="inlineStr">
        <x:is>
          <x:t xml:space="preserve">Core 150</x:t>
        </x:is>
      </x:c>
      <x:c r="F151" s="5" t="n">
        <x:v>9</x:v>
      </x:c>
      <x:c r="G151" s="5" t="inlineStr">
        <x:is>
          <x:t xml:space="preserve">Map the competitive landscape and tell me how we can actually differentiate.</x:t>
        </x:is>
      </x:c>
      <x:c r="H151" s="6" t="n">
        <x:v>55</x:v>
      </x:c>
      <x:c r="I151" s="6" t="n">
        <x:v>55</x:v>
      </x:c>
      <x:c r="J151" s="7" t="n">
        <x:v>74</x:v>
      </x:c>
      <x:c r="K151" s="7" t="n">
        <x:v>64</x:v>
      </x:c>
      <x:c r="L151" s="8" t="inlineStr">
        <x:is>
          <x:t xml:space="preserve">UNTESTED</x:t>
        </x:is>
      </x:c>
      <x:c r="M151" s="9" t="inlineStr">
        <x:is>
          <x:t xml:space="preserve">UNTESTED</x:t>
        </x:is>
      </x:c>
      <x:c r="N151" s="5" t="inlineStr">
        <x:is>
          <x:t xml:space="preserve">strategy; product thinking; GTM reasoning; structured planning</x:t>
        </x:is>
      </x:c>
      <x:c r="O151" s="5" t="inlineStr">
        <x:is>
          <x:t xml:space="preserve">Medium</x:t>
        </x:is>
      </x:c>
      <x:c r="P151" s="5" t="inlineStr">
        <x:is>
          <x:t xml:space="preserve">High</x:t>
        </x:is>
      </x:c>
      <x:c r="Q151" s="5" t="inlineStr">
        <x:is>
          <x:t xml:space="preserve">Low</x:t>
        </x:is>
      </x:c>
      <x:c r="R151" s="5" t="inlineStr">
        <x:is>
          <x:t xml:space="preserve">Medium</x:t>
        </x:is>
      </x:c>
      <x:c r="S151" s="5" t="inlineStr">
        <x:is>
          <x:t xml:space="preserve">Low</x:t>
        </x:is>
      </x:c>
      <x:c r="T151" s="5" t="inlineStr">
        <x:is>
          <x:t xml:space="preserve">Claude + ChatGPT combo</x:t>
        </x:is>
      </x:c>
      <x:c r="U151" s="5" t="inlineStr">
        <x:is>
          <x:t xml:space="preserve">Easy</x:t>
        </x:is>
      </x:c>
      <x:c r="V151" s="10" t="n">
        <x:v>1</x:v>
      </x:c>
      <x:c r="W151" s="5" t="inlineStr">
        <x:is>
          <x:t xml:space="preserve">Plan generation + critique + strategic review</x:t>
        </x:is>
      </x:c>
      <x:c r="X151" s="5" t="inlineStr">
        <x:is>
          <x:t xml:space="preserve">roadmap / GTM plan / business memo</x:t>
        </x:is>
      </x:c>
      <x:c r="Y151" s="5" t="inlineStr">
        <x:is>
          <x:t xml:space="preserve">Recommendation is strategically sharp, prioritized, and grounded in market reality.</x:t>
        </x:is>
      </x:c>
      <x:c r="Z151" s="5" t="inlineStr">
        <x:is>
          <x:t xml:space="preserve">Buzzwordy output, no wedge, weak prioritization, or unearned confidence.</x:t>
        </x:is>
      </x:c>
      <x:c r="AA151" s="5" t="inlineStr">
        <x:is>
          <x:t xml:space="preserve">strategy templates / board logic / critique loop</x:t>
        </x:is>
      </x:c>
      <x:c r="AB151" s="5" t="inlineStr">
        <x:is>
          <x:t xml:space="preserve"/>
        </x:is>
      </x:c>
      <x:c r="AC151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51" s="5" t="inlineStr">
        <x:is>
          <x:t xml:space="preserve">OpenAI How People Use ChatGPT paper; Menlo State of Consumer AI 2025; Menlo AI UI Problem 2025</x:t>
        </x:is>
      </x:c>
      <x:c r="AE151" s="11">
        <x:f>IF(O151="High",20,IF(O151="Medium",10,IF(O151="Low",5,0)))+IF(P151="High",20,IF(P151="Medium",10,IF(P151="Low",5,0)))+IF(Q151="High",20,IF(Q151="Medium",10,IF(Q151="Low",5,0)))+IF(R151="High",20,IF(R151="Medium",10,IF(R151="Low",5,0)))+IF(S151="High",20,IF(S151="Medium",10,IF(S151="Low",5,0)))</x:f>
        <x:v>50</x:v>
      </x:c>
      <x:c r="AF151" s="12">
        <x:f>ROUND(H151*0.30+J151*0.25+K151*0.20+(100-AE151)*0.10+(100-(V151*20))*0.15,0)</x:f>
        <x:v>65</x:v>
      </x:c>
      <x:c r="AG151" s="13" t="str">
        <x:f>IF(AF151&gt;=80,"Batch 1",IF(AF151&gt;=70,"Batch 2",IF(AF151&gt;=60,"Batch 3","Backlog")))</x:f>
        <x:v>Batch 3</x:v>
      </x:c>
      <x:c r="AH151" t="inlineStr">
        <x:is>
          <x:t xml:space="preserve"/>
        </x:is>
      </x:c>
    </x:row>
    <x:row r="152">
      <x:c r="A152" s="5" t="inlineStr">
        <x:is>
          <x:t xml:space="preserve">GPO-TRA-12</x:t>
        </x:is>
      </x:c>
      <x:c r="B152" s="5" t="n">
        <x:v>148</x:v>
      </x:c>
      <x:c r="C152" s="5" t="inlineStr">
        <x:is>
          <x:t xml:space="preserve">Travel &amp; Relocation Planner</x:t>
        </x:is>
      </x:c>
      <x:c r="D152" s="5" t="inlineStr">
        <x:is>
          <x:t xml:space="preserve">Move</x:t>
        </x:is>
      </x:c>
      <x:c r="E152" s="5" t="inlineStr">
        <x:is>
          <x:t xml:space="preserve">Expansion 150</x:t>
        </x:is>
      </x:c>
      <x:c r="F152" s="5" t="n">
        <x:v>12</x:v>
      </x:c>
      <x:c r="G152" s="5" t="inlineStr">
        <x:is>
          <x:t xml:space="preserve">Help me choose between destination A and destination B for my priorities.</x:t>
        </x:is>
      </x:c>
      <x:c r="H152" s="6" t="n">
        <x:v>55</x:v>
      </x:c>
      <x:c r="I152" s="6" t="n">
        <x:v>55</x:v>
      </x:c>
      <x:c r="J152" s="7" t="n">
        <x:v>74</x:v>
      </x:c>
      <x:c r="K152" s="7" t="n">
        <x:v>64</x:v>
      </x:c>
      <x:c r="L152" s="8" t="inlineStr">
        <x:is>
          <x:t xml:space="preserve">UNTESTED</x:t>
        </x:is>
      </x:c>
      <x:c r="M152" s="9" t="inlineStr">
        <x:is>
          <x:t xml:space="preserve">UNTESTED</x:t>
        </x:is>
      </x:c>
      <x:c r="N152" s="5" t="inlineStr">
        <x:is>
          <x:t xml:space="preserve">travel research; itinerary planning; logistics reasoning; contingency planning</x:t>
        </x:is>
      </x:c>
      <x:c r="O152" s="5" t="inlineStr">
        <x:is>
          <x:t xml:space="preserve">High</x:t>
        </x:is>
      </x:c>
      <x:c r="P152" s="5" t="inlineStr">
        <x:is>
          <x:t xml:space="preserve">Medium</x:t>
        </x:is>
      </x:c>
      <x:c r="Q152" s="5" t="inlineStr">
        <x:is>
          <x:t xml:space="preserve">Medium</x:t>
        </x:is>
      </x:c>
      <x:c r="R152" s="5" t="inlineStr">
        <x:is>
          <x:t xml:space="preserve">Low</x:t>
        </x:is>
      </x:c>
      <x:c r="S152" s="5" t="inlineStr">
        <x:is>
          <x:t xml:space="preserve">Low</x:t>
        </x:is>
      </x:c>
      <x:c r="T152" s="5" t="inlineStr">
        <x:is>
          <x:t xml:space="preserve">ChatGPT with web; maps/calendar later</x:t>
        </x:is>
      </x:c>
      <x:c r="U152" s="5" t="inlineStr">
        <x:is>
          <x:t xml:space="preserve">Easy</x:t>
        </x:is>
      </x:c>
      <x:c r="V152" s="10" t="n">
        <x:v>1</x:v>
      </x:c>
      <x:c r="W152" s="5" t="inlineStr">
        <x:is>
          <x:t xml:space="preserve">Live trip planning + feasibility review</x:t>
        </x:is>
      </x:c>
      <x:c r="X152" s="5" t="inlineStr">
        <x:is>
          <x:t xml:space="preserve">itinerary / relocation plan / checklist</x:t>
        </x:is>
      </x:c>
      <x:c r="Y152" s="5" t="inlineStr">
        <x:is>
          <x:t xml:space="preserve">Plan is current, geographically sensible, and tuned to budget/constraints.</x:t>
        </x:is>
      </x:c>
      <x:c r="Z152" s="5" t="inlineStr">
        <x:is>
          <x:t xml:space="preserve">Bad logistics, stale info, wrong timing, or generic travel advice.</x:t>
        </x:is>
      </x:c>
      <x:c r="AA152" s="5" t="inlineStr">
        <x:is>
          <x:t xml:space="preserve">travel templates / web + mapping integration / logistics engine</x:t>
        </x:is>
      </x:c>
      <x:c r="AB152" s="5" t="inlineStr">
        <x:is>
          <x:t xml:space="preserve"/>
        </x:is>
      </x:c>
      <x:c r="AC152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52" s="5" t="inlineStr">
        <x:is>
          <x:t xml:space="preserve">Deloitte Connected Consumer 2025; Adobe travel planning 2025</x:t>
        </x:is>
      </x:c>
      <x:c r="AE152" s="11">
        <x:f>IF(O152="High",20,IF(O152="Medium",10,IF(O152="Low",5,0)))+IF(P152="High",20,IF(P152="Medium",10,IF(P152="Low",5,0)))+IF(Q152="High",20,IF(Q152="Medium",10,IF(Q152="Low",5,0)))+IF(R152="High",20,IF(R152="Medium",10,IF(R152="Low",5,0)))+IF(S152="High",20,IF(S152="Medium",10,IF(S152="Low",5,0)))</x:f>
        <x:v>50</x:v>
      </x:c>
      <x:c r="AF152" s="12">
        <x:f>ROUND(H152*0.30+J152*0.25+K152*0.20+(100-AE152)*0.10+(100-(V152*20))*0.15,0)</x:f>
        <x:v>65</x:v>
      </x:c>
      <x:c r="AG152" s="13" t="str">
        <x:f>IF(AF152&gt;=80,"Batch 1",IF(AF152&gt;=70,"Batch 2",IF(AF152&gt;=60,"Batch 3","Backlog")))</x:f>
        <x:v>Batch 3</x:v>
      </x:c>
      <x:c r="AH152" t="inlineStr">
        <x:is>
          <x:t xml:space="preserve"/>
        </x:is>
      </x:c>
    </x:row>
    <x:row r="153">
      <x:c r="A153" s="5" t="inlineStr">
        <x:is>
          <x:t xml:space="preserve">GPO-WRI-20</x:t>
        </x:is>
      </x:c>
      <x:c r="B153" s="5" t="n">
        <x:v>149</x:v>
      </x:c>
      <x:c r="C153" s="5" t="inlineStr">
        <x:is>
          <x:t xml:space="preserve">Writing &amp; Documentation</x:t>
        </x:is>
      </x:c>
      <x:c r="D153" s="5" t="inlineStr">
        <x:is>
          <x:t xml:space="preserve">Create</x:t>
        </x:is>
      </x:c>
      <x:c r="E153" s="5" t="inlineStr">
        <x:is>
          <x:t xml:space="preserve">Expansion 150</x:t>
        </x:is>
      </x:c>
      <x:c r="F153" s="5" t="n">
        <x:v>20</x:v>
      </x:c>
      <x:c r="G153" s="5" t="inlineStr">
        <x:is>
          <x:t xml:space="preserve">Generate all the docs needed to ship new feature: spec, rollout plan, FAQ, and support notes.</x:t>
        </x:is>
      </x:c>
      <x:c r="H153" s="6" t="n">
        <x:v>51</x:v>
      </x:c>
      <x:c r="I153" s="6" t="n">
        <x:v>51</x:v>
      </x:c>
      <x:c r="J153" s="7" t="n">
        <x:v>79</x:v>
      </x:c>
      <x:c r="K153" s="7" t="n">
        <x:v>64</x:v>
      </x:c>
      <x:c r="L153" s="8" t="inlineStr">
        <x:is>
          <x:t xml:space="preserve">UNTESTED</x:t>
        </x:is>
      </x:c>
      <x:c r="M153" s="9" t="inlineStr">
        <x:is>
          <x:t xml:space="preserve">UNTESTED</x:t>
        </x:is>
      </x:c>
      <x:c r="N153" s="5" t="inlineStr">
        <x:is>
          <x:t xml:space="preserve">writing quality; summarization; style control; structured artifacts</x:t>
        </x:is>
      </x:c>
      <x:c r="O153" s="5" t="inlineStr">
        <x:is>
          <x:t xml:space="preserve">Low</x:t>
        </x:is>
      </x:c>
      <x:c r="P153" s="5" t="inlineStr">
        <x:is>
          <x:t xml:space="preserve">Medium</x:t>
        </x:is>
      </x:c>
      <x:c r="Q153" s="5" t="inlineStr">
        <x:is>
          <x:t xml:space="preserve">Low</x:t>
        </x:is>
      </x:c>
      <x:c r="R153" s="5" t="inlineStr">
        <x:is>
          <x:t xml:space="preserve">Low</x:t>
        </x:is>
      </x:c>
      <x:c r="S153" s="5" t="inlineStr">
        <x:is>
          <x:t xml:space="preserve">Low</x:t>
        </x:is>
      </x:c>
      <x:c r="T153" s="5" t="inlineStr">
        <x:is>
          <x:t xml:space="preserve">ChatGPT or Claude; human review optional</x:t>
        </x:is>
      </x:c>
      <x:c r="U153" s="5" t="inlineStr">
        <x:is>
          <x:t xml:space="preserve">Easy</x:t>
        </x:is>
      </x:c>
      <x:c r="V153" s="10" t="n">
        <x:v>1</x:v>
      </x:c>
      <x:c r="W153" s="5" t="inlineStr">
        <x:is>
          <x:t xml:space="preserve">Prompt execution + artifact quality review</x:t>
        </x:is>
      </x:c>
      <x:c r="X153" s="5" t="inlineStr">
        <x:is>
          <x:t xml:space="preserve">doc / memo / email / FAQ / summary</x:t>
        </x:is>
      </x:c>
      <x:c r="Y153" s="5" t="inlineStr">
        <x:is>
          <x:t xml:space="preserve">Output is clear, tailored, structurally sound, and immediately usable.</x:t>
        </x:is>
      </x:c>
      <x:c r="Z153" s="5" t="inlineStr">
        <x:is>
          <x:t xml:space="preserve">Generic tone, missing context, weak structure, or wrong audience level.</x:t>
        </x:is>
      </x:c>
      <x:c r="AA153" s="5" t="inlineStr">
        <x:is>
          <x:t xml:space="preserve">prompt pack / style guidance / output schema</x:t>
        </x:is>
      </x:c>
      <x:c r="AB153" s="5" t="inlineStr">
        <x:is>
          <x:t xml:space="preserve"/>
        </x:is>
      </x:c>
      <x:c r="AC153" s="5" t="inlineStr">
        <x:is>
          <x:t xml:space="preserve">OpenAI usage paper: Writing is in top 3 categories; Menlo consumer AI says 19% use AI to write emails and 18% get writing support.</x:t>
        </x:is>
      </x:c>
      <x:c r="AD153" s="5" t="inlineStr">
        <x:is>
          <x:t xml:space="preserve">OpenAI How People Use ChatGPT paper; Menlo State of Consumer AI 2025</x:t>
        </x:is>
      </x:c>
      <x:c r="AE153" s="11">
        <x:f>IF(O153="High",20,IF(O153="Medium",10,IF(O153="Low",5,0)))+IF(P153="High",20,IF(P153="Medium",10,IF(P153="Low",5,0)))+IF(Q153="High",20,IF(Q153="Medium",10,IF(Q153="Low",5,0)))+IF(R153="High",20,IF(R153="Medium",10,IF(R153="Low",5,0)))+IF(S153="High",20,IF(S153="Medium",10,IF(S153="Low",5,0)))</x:f>
        <x:v>30</x:v>
      </x:c>
      <x:c r="AF153" s="12">
        <x:f>ROUND(H153*0.30+J153*0.25+K153*0.20+(100-AE153)*0.10+(100-(V153*20))*0.15,0)</x:f>
        <x:v>67</x:v>
      </x:c>
      <x:c r="AG153" s="13" t="str">
        <x:f>IF(AF153&gt;=80,"Batch 1",IF(AF153&gt;=70,"Batch 2",IF(AF153&gt;=60,"Batch 3","Backlog")))</x:f>
        <x:v>Batch 3</x:v>
      </x:c>
      <x:c r="AH153" t="inlineStr">
        <x:is>
          <x:t xml:space="preserve"/>
        </x:is>
      </x:c>
    </x:row>
    <x:row r="154">
      <x:c r="A154" s="5" t="inlineStr">
        <x:is>
          <x:t xml:space="preserve">GPO-RES-17</x:t>
        </x:is>
      </x:c>
      <x:c r="B154" s="5" t="n">
        <x:v>150</x:v>
      </x:c>
      <x:c r="C154" s="5" t="inlineStr">
        <x:is>
          <x:t xml:space="preserve">Research &amp; Analysis</x:t>
        </x:is>
      </x:c>
      <x:c r="D154" s="5" t="inlineStr">
        <x:is>
          <x:t xml:space="preserve">Think</x:t>
        </x:is>
      </x:c>
      <x:c r="E154" s="5" t="inlineStr">
        <x:is>
          <x:t xml:space="preserve">Expansion 150</x:t>
        </x:is>
      </x:c>
      <x:c r="F154" s="5" t="n">
        <x:v>17</x:v>
      </x:c>
      <x:c r="G154" s="5" t="inlineStr">
        <x:is>
          <x:t xml:space="preserve">Give me a brutally honest critique of this pitch/plan/product concept.</x:t>
        </x:is>
      </x:c>
      <x:c r="H154" s="6" t="n">
        <x:v>54</x:v>
      </x:c>
      <x:c r="I154" s="6" t="n">
        <x:v>54</x:v>
      </x:c>
      <x:c r="J154" s="7" t="n">
        <x:v>75</x:v>
      </x:c>
      <x:c r="K154" s="7" t="n">
        <x:v>63</x:v>
      </x:c>
      <x:c r="L154" s="8" t="inlineStr">
        <x:is>
          <x:t xml:space="preserve">UNTESTED</x:t>
        </x:is>
      </x:c>
      <x:c r="M154" s="9" t="inlineStr">
        <x:is>
          <x:t xml:space="preserve">UNTESTED</x:t>
        </x:is>
      </x:c>
      <x:c r="N154" s="5" t="inlineStr">
        <x:is>
          <x:t xml:space="preserve">web research; synthesis; citation discipline; decision framing</x:t>
        </x:is>
      </x:c>
      <x:c r="O154" s="5" t="inlineStr">
        <x:is>
          <x:t xml:space="preserve">High</x:t>
        </x:is>
      </x:c>
      <x:c r="P154" s="5" t="inlineStr">
        <x:is>
          <x:t xml:space="preserve">Medium</x:t>
        </x:is>
      </x:c>
      <x:c r="Q154" s="5" t="inlineStr">
        <x:is>
          <x:t xml:space="preserve">Medium</x:t>
        </x:is>
      </x:c>
      <x:c r="R154" s="5" t="inlineStr">
        <x:is>
          <x:t xml:space="preserve">Medium</x:t>
        </x:is>
      </x:c>
      <x:c r="S154" s="5" t="inlineStr">
        <x:is>
          <x:t xml:space="preserve">Low</x:t>
        </x:is>
      </x:c>
      <x:c r="T154" s="5" t="inlineStr">
        <x:is>
          <x:t xml:space="preserve">ChatGPT with web; Claude for synthesis</x:t>
        </x:is>
      </x:c>
      <x:c r="U154" s="5" t="inlineStr">
        <x:is>
          <x:t xml:space="preserve">Medium</x:t>
        </x:is>
      </x:c>
      <x:c r="V154" s="10" t="n">
        <x:v>2</x:v>
      </x:c>
      <x:c r="W154" s="5" t="inlineStr">
        <x:is>
          <x:t xml:space="preserve">Live research + source validation + recommendation review</x:t>
        </x:is>
      </x:c>
      <x:c r="X154" s="5" t="inlineStr">
        <x:is>
          <x:t xml:space="preserve">brief / comparison / decision memo / risk analysis</x:t>
        </x:is>
      </x:c>
      <x:c r="Y154" s="5" t="inlineStr">
        <x:is>
          <x:t xml:space="preserve">Accurate synthesis with evidence, tradeoffs, and a concrete recommendation.</x:t>
        </x:is>
      </x:c>
      <x:c r="Z154" s="5" t="inlineStr">
        <x:is>
          <x:t xml:space="preserve">Stale facts, no citations, weak reasoning, or surface-level synthesis.</x:t>
        </x:is>
      </x:c>
      <x:c r="AA154" s="5" t="inlineStr">
        <x:is>
          <x:t xml:space="preserve">web integration / citation enforcement / analysis rubric</x:t>
        </x:is>
      </x:c>
      <x:c r="AB154" s="5" t="inlineStr">
        <x:is>
          <x:t xml:space="preserve"/>
        </x:is>
      </x:c>
      <x:c r="AC154" s="5" t="inlineStr">
        <x:is>
          <x:t xml:space="preserve">OpenAI usage paper: Seeking Information is in top 3 categories; work/advice/search are common across Deloitte and OpenAI.</x:t>
        </x:is>
      </x:c>
      <x:c r="AD154" s="5" t="inlineStr">
        <x:is>
          <x:t xml:space="preserve">OpenAI How People Use ChatGPT paper; Deloitte Connected Consumer 2025</x:t>
        </x:is>
      </x:c>
      <x:c r="AE154" s="11">
        <x:f>IF(O154="High",20,IF(O154="Medium",10,IF(O154="Low",5,0)))+IF(P154="High",20,IF(P154="Medium",10,IF(P154="Low",5,0)))+IF(Q154="High",20,IF(Q154="Medium",10,IF(Q154="Low",5,0)))+IF(R154="High",20,IF(R154="Medium",10,IF(R154="Low",5,0)))+IF(S154="High",20,IF(S154="Medium",10,IF(S154="Low",5,0)))</x:f>
        <x:v>55</x:v>
      </x:c>
      <x:c r="AF154" s="12">
        <x:f>ROUND(H154*0.30+J154*0.25+K154*0.20+(100-AE154)*0.10+(100-(V154*20))*0.15,0)</x:f>
        <x:v>61</x:v>
      </x:c>
      <x:c r="AG154" s="13" t="str">
        <x:f>IF(AF154&gt;=80,"Batch 1",IF(AF154&gt;=70,"Batch 2",IF(AF154&gt;=60,"Batch 3","Backlog")))</x:f>
        <x:v>Batch 3</x:v>
      </x:c>
      <x:c r="AH154" t="inlineStr">
        <x:is>
          <x:t xml:space="preserve"/>
        </x:is>
      </x:c>
    </x:row>
    <x:row r="155">
      <x:c r="A155" s="5" t="inlineStr">
        <x:is>
          <x:t xml:space="preserve">GPO-CAR-10</x:t>
        </x:is>
      </x:c>
      <x:c r="B155" s="5" t="n">
        <x:v>151</x:v>
      </x:c>
      <x:c r="C155" s="5" t="inlineStr">
        <x:is>
          <x:t xml:space="preserve">Career &amp; Job Search</x:t>
        </x:is>
      </x:c>
      <x:c r="D155" s="5" t="inlineStr">
        <x:is>
          <x:t xml:space="preserve">Advance</x:t>
        </x:is>
      </x:c>
      <x:c r="E155" s="5" t="inlineStr">
        <x:is>
          <x:t xml:space="preserve">Core 150</x:t>
        </x:is>
      </x:c>
      <x:c r="F155" s="5" t="n">
        <x:v>10</x:v>
      </x:c>
      <x:c r="G155" s="5" t="inlineStr">
        <x:is>
          <x:t xml:space="preserve">Run a mock interview and give me brutally honest feedback.</x:t>
        </x:is>
      </x:c>
      <x:c r="H155" s="6" t="n">
        <x:v>52</x:v>
      </x:c>
      <x:c r="I155" s="6" t="n">
        <x:v>52</x:v>
      </x:c>
      <x:c r="J155" s="7" t="n">
        <x:v>77</x:v>
      </x:c>
      <x:c r="K155" s="7" t="n">
        <x:v>63</x:v>
      </x:c>
      <x:c r="L155" s="8" t="inlineStr">
        <x:is>
          <x:t xml:space="preserve">UNTESTED</x:t>
        </x:is>
      </x:c>
      <x:c r="M155" s="9" t="inlineStr">
        <x:is>
          <x:t xml:space="preserve">UNTESTED</x:t>
        </x:is>
      </x:c>
      <x:c r="N155" s="5" t="inlineStr">
        <x:is>
          <x:t xml:space="preserve">resume tailoring; interview prep; role mapping; narrative building</x:t>
        </x:is>
      </x:c>
      <x:c r="O155" s="5" t="inlineStr">
        <x:is>
          <x:t xml:space="preserve">Medium</x:t>
        </x:is>
      </x:c>
      <x:c r="P155" s="5" t="inlineStr">
        <x:is>
          <x:t xml:space="preserve">High</x:t>
        </x:is>
      </x:c>
      <x:c r="Q155" s="5" t="inlineStr">
        <x:is>
          <x:t xml:space="preserve">Low</x:t>
        </x:is>
      </x:c>
      <x:c r="R155" s="5" t="inlineStr">
        <x:is>
          <x:t xml:space="preserve">Low</x:t>
        </x:is>
      </x:c>
      <x:c r="S155" s="5" t="inlineStr">
        <x:is>
          <x:t xml:space="preserve">Low</x:t>
        </x:is>
      </x:c>
      <x:c r="T155" s="5" t="inlineStr">
        <x:is>
          <x:t xml:space="preserve">ChatGPT primary</x:t>
        </x:is>
      </x:c>
      <x:c r="U155" s="5" t="inlineStr">
        <x:is>
          <x:t xml:space="preserve">Easy</x:t>
        </x:is>
      </x:c>
      <x:c r="V155" s="10" t="n">
        <x:v>1</x:v>
      </x:c>
      <x:c r="W155" s="5" t="inlineStr">
        <x:is>
          <x:t xml:space="preserve">Artifact review + mock interview + targeting review</x:t>
        </x:is>
      </x:c>
      <x:c r="X155" s="5" t="inlineStr">
        <x:is>
          <x:t xml:space="preserve">resume / prep plan / outreach / strategy memo</x:t>
        </x:is>
      </x:c>
      <x:c r="Y155" s="5" t="inlineStr">
        <x:is>
          <x:t xml:space="preserve">Career outputs are specific, credible, and materially improve positioning.</x:t>
        </x:is>
      </x:c>
      <x:c r="Z155" s="5" t="inlineStr">
        <x:is>
          <x:t xml:space="preserve">Generic resume language, fake-sounding stories, or weak role fit.</x:t>
        </x:is>
      </x:c>
      <x:c r="AA155" s="5" t="inlineStr">
        <x:is>
          <x:t xml:space="preserve">career templates / memory / ATS-aware output logic</x:t>
        </x:is>
      </x:c>
      <x:c r="AB155" s="5" t="inlineStr">
        <x:is>
          <x:t xml:space="preserve"/>
        </x:is>
      </x:c>
      <x:c r="AC155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55" s="5" t="inlineStr">
        <x:is>
          <x:t xml:space="preserve">Insight Global AI in Hiring Report 2025; NACE student survey 2025/2026</x:t>
        </x:is>
      </x:c>
      <x:c r="AE155" s="11">
        <x:f>IF(O155="High",20,IF(O155="Medium",10,IF(O155="Low",5,0)))+IF(P155="High",20,IF(P155="Medium",10,IF(P155="Low",5,0)))+IF(Q155="High",20,IF(Q155="Medium",10,IF(Q155="Low",5,0)))+IF(R155="High",20,IF(R155="Medium",10,IF(R155="Low",5,0)))+IF(S155="High",20,IF(S155="Medium",10,IF(S155="Low",5,0)))</x:f>
        <x:v>45</x:v>
      </x:c>
      <x:c r="AF155" s="12">
        <x:f>ROUND(H155*0.30+J155*0.25+K155*0.20+(100-AE155)*0.10+(100-(V155*20))*0.15,0)</x:f>
        <x:v>65</x:v>
      </x:c>
      <x:c r="AG155" s="13" t="str">
        <x:f>IF(AF155&gt;=80,"Batch 1",IF(AF155&gt;=70,"Batch 2",IF(AF155&gt;=60,"Batch 3","Backlog")))</x:f>
        <x:v>Batch 3</x:v>
      </x:c>
      <x:c r="AH155" t="inlineStr">
        <x:is>
          <x:t xml:space="preserve"/>
        </x:is>
      </x:c>
    </x:row>
    <x:row r="156">
      <x:c r="A156" s="5" t="inlineStr">
        <x:is>
          <x:t xml:space="preserve">GPO-COD-20</x:t>
        </x:is>
      </x:c>
      <x:c r="B156" s="5" t="n">
        <x:v>152</x:v>
      </x:c>
      <x:c r="C156" s="5" t="inlineStr">
        <x:is>
          <x:t xml:space="preserve">Code &amp; Product Engineering</x:t>
        </x:is>
      </x:c>
      <x:c r="D156" s="5" t="inlineStr">
        <x:is>
          <x:t xml:space="preserve">Build</x:t>
        </x:is>
      </x:c>
      <x:c r="E156" s="5" t="inlineStr">
        <x:is>
          <x:t xml:space="preserve">Expansion 150</x:t>
        </x:is>
      </x:c>
      <x:c r="F156" s="5" t="n">
        <x:v>20</x:v>
      </x:c>
      <x:c r="G156" s="5" t="inlineStr">
        <x:is>
          <x:t xml:space="preserve">Audit the release readiness of the repo and tell me what still blocks production.</x:t>
        </x:is>
      </x:c>
      <x:c r="H156" s="6" t="n">
        <x:v>52</x:v>
      </x:c>
      <x:c r="I156" s="6" t="n">
        <x:v>52</x:v>
      </x:c>
      <x:c r="J156" s="7" t="n">
        <x:v>77</x:v>
      </x:c>
      <x:c r="K156" s="7" t="n">
        <x:v>63</x:v>
      </x:c>
      <x:c r="L156" s="8" t="inlineStr">
        <x:is>
          <x:t xml:space="preserve">UNTESTED</x:t>
        </x:is>
      </x:c>
      <x:c r="M156" s="9" t="inlineStr">
        <x:is>
          <x:t xml:space="preserve">UNTESTED</x:t>
        </x:is>
      </x:c>
      <x:c r="N156" s="5" t="inlineStr">
        <x:is>
          <x:t xml:space="preserve">routing; code reasoning; repo context; file edit; test execution; structured output</x:t>
        </x:is>
      </x:c>
      <x:c r="O156" s="5" t="inlineStr">
        <x:is>
          <x:t xml:space="preserve">No</x:t>
        </x:is>
      </x:c>
      <x:c r="P156" s="5" t="inlineStr">
        <x:is>
          <x:t xml:space="preserve">Medium</x:t>
        </x:is>
      </x:c>
      <x:c r="Q156" s="5" t="inlineStr">
        <x:is>
          <x:t xml:space="preserve">High</x:t>
        </x:is>
      </x:c>
      <x:c r="R156" s="5" t="inlineStr">
        <x:is>
          <x:t xml:space="preserve">Medium</x:t>
        </x:is>
      </x:c>
      <x:c r="S156" s="5" t="inlineStr">
        <x:is>
          <x:t xml:space="preserve">Low</x:t>
        </x:is>
      </x:c>
      <x:c r="T156" s="5" t="inlineStr">
        <x:is>
          <x:t xml:space="preserve">Claude Code primary; ChatGPT critique; web optional</x:t>
        </x:is>
      </x:c>
      <x:c r="U156" s="5" t="inlineStr">
        <x:is>
          <x:t xml:space="preserve">Medium</x:t>
        </x:is>
      </x:c>
      <x:c r="V156" s="10" t="n">
        <x:v>2</x:v>
      </x:c>
      <x:c r="W156" s="5" t="inlineStr">
        <x:is>
          <x:t xml:space="preserve">Live execution + code diff + output review</x:t>
        </x:is>
      </x:c>
      <x:c r="X156" s="5" t="inlineStr">
        <x:is>
          <x:t xml:space="preserve">code patch / spec / architecture / debug report</x:t>
        </x:is>
      </x:c>
      <x:c r="Y156" s="5" t="inlineStr">
        <x:is>
          <x:t xml:space="preserve">Produces correct technical plan or working code without breaking current behavior.</x:t>
        </x:is>
      </x:c>
      <x:c r="Z156" s="5" t="inlineStr">
        <x:is>
          <x:t xml:space="preserve">Hallucinated codebase facts, unsafe refactor, broken tests, or vague technical output.</x:t>
        </x:is>
      </x:c>
      <x:c r="AA156" s="5" t="inlineStr">
        <x:is>
          <x:t xml:space="preserve">routing / tool wiring / repo context / codegen guardrails</x:t>
        </x:is>
      </x:c>
      <x:c r="AB156" s="5" t="inlineStr">
        <x:is>
          <x:t xml:space="preserve"/>
        </x:is>
      </x:c>
      <x:c r="AC156" s="5" t="inlineStr">
        <x:is>
          <x:t xml:space="preserve">OpenAI/common use: writing+coding; Menlo enterprise coding is 55% of departmental AI spend; Deloitte top app: work assistance.</x:t>
        </x:is>
      </x:c>
      <x:c r="AD156" s="5" t="inlineStr">
        <x:is>
          <x:t xml:space="preserve">OpenAI GPT-5 / How People Use ChatGPT; Menlo State of GenAI in Enterprise 2025; Deloitte Connected Consumer 2025</x:t>
        </x:is>
      </x:c>
      <x:c r="AE156" s="11">
        <x:f>IF(O156="High",20,IF(O156="Medium",10,IF(O156="Low",5,0)))+IF(P156="High",20,IF(P156="Medium",10,IF(P156="Low",5,0)))+IF(Q156="High",20,IF(Q156="Medium",10,IF(Q156="Low",5,0)))+IF(R156="High",20,IF(R156="Medium",10,IF(R156="Low",5,0)))+IF(S156="High",20,IF(S156="Medium",10,IF(S156="Low",5,0)))</x:f>
        <x:v>45</x:v>
      </x:c>
      <x:c r="AF156" s="12">
        <x:f>ROUND(H156*0.30+J156*0.25+K156*0.20+(100-AE156)*0.10+(100-(V156*20))*0.15,0)</x:f>
        <x:v>62</x:v>
      </x:c>
      <x:c r="AG156" s="13" t="str">
        <x:f>IF(AF156&gt;=80,"Batch 1",IF(AF156&gt;=70,"Batch 2",IF(AF156&gt;=60,"Batch 3","Backlog")))</x:f>
        <x:v>Batch 3</x:v>
      </x:c>
      <x:c r="AH156" t="inlineStr">
        <x:is>
          <x:t xml:space="preserve"/>
        </x:is>
      </x:c>
    </x:row>
    <x:row r="157">
      <x:c r="A157" s="5" t="inlineStr">
        <x:is>
          <x:t xml:space="preserve">GPO-PER-10</x:t>
        </x:is>
      </x:c>
      <x:c r="B157" s="5" t="n">
        <x:v>153</x:v>
      </x:c>
      <x:c r="C157" s="5" t="inlineStr">
        <x:is>
          <x:t xml:space="preserve">Personal Finance &amp; Investing</x:t>
        </x:is>
      </x:c>
      <x:c r="D157" s="5" t="inlineStr">
        <x:is>
          <x:t xml:space="preserve">Money</x:t>
        </x:is>
      </x:c>
      <x:c r="E157" s="5" t="inlineStr">
        <x:is>
          <x:t xml:space="preserve">Core 150</x:t>
        </x:is>
      </x:c>
      <x:c r="F157" s="5" t="n">
        <x:v>10</x:v>
      </x:c>
      <x:c r="G157" s="5" t="inlineStr">
        <x:is>
          <x:t xml:space="preserve">Build a long-term wealth plan from salary, raises, taxes, and investing assumptions.</x:t>
        </x:is>
      </x:c>
      <x:c r="H157" s="6" t="n">
        <x:v>56</x:v>
      </x:c>
      <x:c r="I157" s="6" t="n">
        <x:v>56</x:v>
      </x:c>
      <x:c r="J157" s="7" t="n">
        <x:v>71</x:v>
      </x:c>
      <x:c r="K157" s="7" t="n">
        <x:v>63</x:v>
      </x:c>
      <x:c r="L157" s="8" t="inlineStr">
        <x:is>
          <x:t xml:space="preserve">UNTESTED</x:t>
        </x:is>
      </x:c>
      <x:c r="M157" s="9" t="inlineStr">
        <x:is>
          <x:t xml:space="preserve">UNTESTED</x:t>
        </x:is>
      </x:c>
      <x:c r="N157" s="5" t="inlineStr">
        <x:is>
          <x:t xml:space="preserve">scenario modeling; budgeting; portfolio reasoning; decision framing</x:t>
        </x:is>
      </x:c>
      <x:c r="O157" s="5" t="inlineStr">
        <x:is>
          <x:t xml:space="preserve">Medium</x:t>
        </x:is>
      </x:c>
      <x:c r="P157" s="5" t="inlineStr">
        <x:is>
          <x:t xml:space="preserve">High</x:t>
        </x:is>
      </x:c>
      <x:c r="Q157" s="5" t="inlineStr">
        <x:is>
          <x:t xml:space="preserve">Medium</x:t>
        </x:is>
      </x:c>
      <x:c r="R157" s="5" t="inlineStr">
        <x:is>
          <x:t xml:space="preserve">Low</x:t>
        </x:is>
      </x:c>
      <x:c r="S157" s="5" t="inlineStr">
        <x:is>
          <x:t xml:space="preserve">Medium</x:t>
        </x:is>
      </x:c>
      <x:c r="T157" s="5" t="inlineStr">
        <x:is>
          <x:t xml:space="preserve">ChatGPT or Claude with spreadsheet support</x:t>
        </x:is>
      </x:c>
      <x:c r="U157" s="5" t="inlineStr">
        <x:is>
          <x:t xml:space="preserve">Easy</x:t>
        </x:is>
      </x:c>
      <x:c r="V157" s="10" t="n">
        <x:v>1</x:v>
      </x:c>
      <x:c r="W157" s="5" t="inlineStr">
        <x:is>
          <x:t xml:space="preserve">Scenario modeling + coherence review</x:t>
        </x:is>
      </x:c>
      <x:c r="X157" s="5" t="inlineStr">
        <x:is>
          <x:t xml:space="preserve">budget / model / plan / recommendation</x:t>
        </x:is>
      </x:c>
      <x:c r="Y157" s="5" t="inlineStr">
        <x:is>
          <x:t xml:space="preserve">Advice is numerically coherent, practical, and transparent about assumptions.</x:t>
        </x:is>
      </x:c>
      <x:c r="Z157" s="5" t="inlineStr">
        <x:is>
          <x:t xml:space="preserve">Bad math, missing assumptions, or overconfident investment guidance.</x:t>
        </x:is>
      </x:c>
      <x:c r="AA157" s="5" t="inlineStr">
        <x:is>
          <x:t xml:space="preserve">financial calculator / assumption schema / spreadsheet outputs</x:t>
        </x:is>
      </x:c>
      <x:c r="AB157" s="5" t="inlineStr">
        <x:is>
          <x:t xml:space="preserve"/>
        </x:is>
      </x:c>
      <x:c r="AC157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57" s="5" t="inlineStr">
        <x:is>
          <x:t xml:space="preserve">FNBO Financial Wellbeing Study 2025; NerdWallet/Harris Poll 2026; PlanAdviser 2026</x:t>
        </x:is>
      </x:c>
      <x:c r="AE157" s="11">
        <x:f>IF(O157="High",20,IF(O157="Medium",10,IF(O157="Low",5,0)))+IF(P157="High",20,IF(P157="Medium",10,IF(P157="Low",5,0)))+IF(Q157="High",20,IF(Q157="Medium",10,IF(Q157="Low",5,0)))+IF(R157="High",20,IF(R157="Medium",10,IF(R157="Low",5,0)))+IF(S157="High",20,IF(S157="Medium",10,IF(S157="Low",5,0)))</x:f>
        <x:v>55</x:v>
      </x:c>
      <x:c r="AF157" s="12">
        <x:f>ROUND(H157*0.30+J157*0.25+K157*0.20+(100-AE157)*0.10+(100-(V157*20))*0.15,0)</x:f>
        <x:v>64</x:v>
      </x:c>
      <x:c r="AG157" s="13" t="str">
        <x:f>IF(AF157&gt;=80,"Batch 1",IF(AF157&gt;=70,"Batch 2",IF(AF157&gt;=60,"Batch 3","Backlog")))</x:f>
        <x:v>Batch 3</x:v>
      </x:c>
      <x:c r="AH157" t="inlineStr">
        <x:is>
          <x:t xml:space="preserve"/>
        </x:is>
      </x:c>
    </x:row>
    <x:row r="158">
      <x:c r="A158" s="5" t="inlineStr">
        <x:is>
          <x:t xml:space="preserve">GPO-SHO-14</x:t>
        </x:is>
      </x:c>
      <x:c r="B158" s="5" t="n">
        <x:v>154</x:v>
      </x:c>
      <x:c r="C158" s="5" t="inlineStr">
        <x:is>
          <x:t xml:space="preserve">Shopping &amp; Buying Advisor</x:t>
        </x:is>
      </x:c>
      <x:c r="D158" s="5" t="inlineStr">
        <x:is>
          <x:t xml:space="preserve">Buy</x:t>
        </x:is>
      </x:c>
      <x:c r="E158" s="5" t="inlineStr">
        <x:is>
          <x:t xml:space="preserve">Expansion 150</x:t>
        </x:is>
      </x:c>
      <x:c r="F158" s="5" t="n">
        <x:v>14</x:v>
      </x:c>
      <x:c r="G158" s="5" t="inlineStr">
        <x:is>
          <x:t xml:space="preserve">Help me avoid fake reviews and pick based on trustworthy signals.</x:t>
        </x:is>
      </x:c>
      <x:c r="H158" s="6" t="n">
        <x:v>53</x:v>
      </x:c>
      <x:c r="I158" s="6" t="n">
        <x:v>53</x:v>
      </x:c>
      <x:c r="J158" s="7" t="n">
        <x:v>75</x:v>
      </x:c>
      <x:c r="K158" s="7" t="n">
        <x:v>63</x:v>
      </x:c>
      <x:c r="L158" s="8" t="inlineStr">
        <x:is>
          <x:t xml:space="preserve">UNTESTED</x:t>
        </x:is>
      </x:c>
      <x:c r="M158" s="9" t="inlineStr">
        <x:is>
          <x:t xml:space="preserve">UNTESTED</x:t>
        </x:is>
      </x:c>
      <x:c r="N158" s="5" t="inlineStr">
        <x:is>
          <x:t xml:space="preserve">web/product research; comparison; price-value reasoning; shortlist generation</x:t>
        </x:is>
      </x:c>
      <x:c r="O158" s="5" t="inlineStr">
        <x:is>
          <x:t xml:space="preserve">High</x:t>
        </x:is>
      </x:c>
      <x:c r="P158" s="5" t="inlineStr">
        <x:is>
          <x:t xml:space="preserve">Medium</x:t>
        </x:is>
      </x:c>
      <x:c r="Q158" s="5" t="inlineStr">
        <x:is>
          <x:t xml:space="preserve">Medium</x:t>
        </x:is>
      </x:c>
      <x:c r="R158" s="5" t="inlineStr">
        <x:is>
          <x:t xml:space="preserve">Low</x:t>
        </x:is>
      </x:c>
      <x:c r="S158" s="5" t="inlineStr">
        <x:is>
          <x:t xml:space="preserve">Low</x:t>
        </x:is>
      </x:c>
      <x:c r="T158" s="5" t="inlineStr">
        <x:is>
          <x:t xml:space="preserve">ChatGPT with web</x:t>
        </x:is>
      </x:c>
      <x:c r="U158" s="5" t="inlineStr">
        <x:is>
          <x:t xml:space="preserve">Easy</x:t>
        </x:is>
      </x:c>
      <x:c r="V158" s="10" t="n">
        <x:v>1</x:v>
      </x:c>
      <x:c r="W158" s="5" t="inlineStr">
        <x:is>
          <x:t xml:space="preserve">Live shopping query + recommendation validation</x:t>
        </x:is>
      </x:c>
      <x:c r="X158" s="5" t="inlineStr">
        <x:is>
          <x:t xml:space="preserve">shortlist / recommendation / comparison / cart plan</x:t>
        </x:is>
      </x:c>
      <x:c r="Y158" s="5" t="inlineStr">
        <x:is>
          <x:t xml:space="preserve">Recommendation fits constraints and explains tradeoffs clearly.</x:t>
        </x:is>
      </x:c>
      <x:c r="Z158" s="5" t="inlineStr">
        <x:is>
          <x:t xml:space="preserve">Outdated products, poor fit, missed constraints, or shallow comparison.</x:t>
        </x:is>
      </x:c>
      <x:c r="AA158" s="5" t="inlineStr">
        <x:is>
          <x:t xml:space="preserve">web/product retrieval / comparison template / user preference memory</x:t>
        </x:is>
      </x:c>
      <x:c r="AB158" s="5" t="inlineStr">
        <x:is>
          <x:t xml:space="preserve"/>
        </x:is>
      </x:c>
      <x:c r="AC158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58" s="5" t="inlineStr">
        <x:is>
          <x:t xml:space="preserve">Deloitte Connected Consumer 2025; Salesforce Connected Shopper 2025; IAB 2025 shopping study</x:t>
        </x:is>
      </x:c>
      <x:c r="AE158" s="11">
        <x:f>IF(O158="High",20,IF(O158="Medium",10,IF(O158="Low",5,0)))+IF(P158="High",20,IF(P158="Medium",10,IF(P158="Low",5,0)))+IF(Q158="High",20,IF(Q158="Medium",10,IF(Q158="Low",5,0)))+IF(R158="High",20,IF(R158="Medium",10,IF(R158="Low",5,0)))+IF(S158="High",20,IF(S158="Medium",10,IF(S158="Low",5,0)))</x:f>
        <x:v>50</x:v>
      </x:c>
      <x:c r="AF158" s="12">
        <x:f>ROUND(H158*0.30+J158*0.25+K158*0.20+(100-AE158)*0.10+(100-(V158*20))*0.15,0)</x:f>
        <x:v>64</x:v>
      </x:c>
      <x:c r="AG158" s="13" t="str">
        <x:f>IF(AF158&gt;=80,"Batch 1",IF(AF158&gt;=70,"Batch 2",IF(AF158&gt;=60,"Batch 3","Backlog")))</x:f>
        <x:v>Batch 3</x:v>
      </x:c>
      <x:c r="AH158" t="inlineStr">
        <x:is>
          <x:t xml:space="preserve"/>
        </x:is>
      </x:c>
    </x:row>
    <x:row r="159">
      <x:c r="A159" s="5" t="inlineStr">
        <x:is>
          <x:t xml:space="preserve">GPO-STA-10</x:t>
        </x:is>
      </x:c>
      <x:c r="B159" s="5" t="n">
        <x:v>155</x:v>
      </x:c>
      <x:c r="C159" s="5" t="inlineStr">
        <x:is>
          <x:t xml:space="preserve">Startup &amp; Business Builder</x:t>
        </x:is>
      </x:c>
      <x:c r="D159" s="5" t="inlineStr">
        <x:is>
          <x:t xml:space="preserve">Build</x:t>
        </x:is>
      </x:c>
      <x:c r="E159" s="5" t="inlineStr">
        <x:is>
          <x:t xml:space="preserve">Core 150</x:t>
        </x:is>
      </x:c>
      <x:c r="F159" s="5" t="n">
        <x:v>10</x:v>
      </x:c>
      <x:c r="G159" s="5" t="inlineStr">
        <x:is>
          <x:t xml:space="preserve">Build a financial model and unit economics assumptions for {startup}.</x:t>
        </x:is>
      </x:c>
      <x:c r="H159" s="6" t="n">
        <x:v>54</x:v>
      </x:c>
      <x:c r="I159" s="6" t="n">
        <x:v>54</x:v>
      </x:c>
      <x:c r="J159" s="7" t="n">
        <x:v>73</x:v>
      </x:c>
      <x:c r="K159" s="7" t="n">
        <x:v>63</x:v>
      </x:c>
      <x:c r="L159" s="8" t="inlineStr">
        <x:is>
          <x:t xml:space="preserve">UNTESTED</x:t>
        </x:is>
      </x:c>
      <x:c r="M159" s="9" t="inlineStr">
        <x:is>
          <x:t xml:space="preserve">UNTESTED</x:t>
        </x:is>
      </x:c>
      <x:c r="N159" s="5" t="inlineStr">
        <x:is>
          <x:t xml:space="preserve">strategy; product thinking; GTM reasoning; structured planning</x:t>
        </x:is>
      </x:c>
      <x:c r="O159" s="5" t="inlineStr">
        <x:is>
          <x:t xml:space="preserve">Medium</x:t>
        </x:is>
      </x:c>
      <x:c r="P159" s="5" t="inlineStr">
        <x:is>
          <x:t xml:space="preserve">High</x:t>
        </x:is>
      </x:c>
      <x:c r="Q159" s="5" t="inlineStr">
        <x:is>
          <x:t xml:space="preserve">Low</x:t>
        </x:is>
      </x:c>
      <x:c r="R159" s="5" t="inlineStr">
        <x:is>
          <x:t xml:space="preserve">Medium</x:t>
        </x:is>
      </x:c>
      <x:c r="S159" s="5" t="inlineStr">
        <x:is>
          <x:t xml:space="preserve">Low</x:t>
        </x:is>
      </x:c>
      <x:c r="T159" s="5" t="inlineStr">
        <x:is>
          <x:t xml:space="preserve">Claude + ChatGPT combo</x:t>
        </x:is>
      </x:c>
      <x:c r="U159" s="5" t="inlineStr">
        <x:is>
          <x:t xml:space="preserve">Easy</x:t>
        </x:is>
      </x:c>
      <x:c r="V159" s="10" t="n">
        <x:v>1</x:v>
      </x:c>
      <x:c r="W159" s="5" t="inlineStr">
        <x:is>
          <x:t xml:space="preserve">Plan generation + critique + strategic review</x:t>
        </x:is>
      </x:c>
      <x:c r="X159" s="5" t="inlineStr">
        <x:is>
          <x:t xml:space="preserve">roadmap / GTM plan / business memo</x:t>
        </x:is>
      </x:c>
      <x:c r="Y159" s="5" t="inlineStr">
        <x:is>
          <x:t xml:space="preserve">Recommendation is strategically sharp, prioritized, and grounded in market reality.</x:t>
        </x:is>
      </x:c>
      <x:c r="Z159" s="5" t="inlineStr">
        <x:is>
          <x:t xml:space="preserve">Buzzwordy output, no wedge, weak prioritization, or unearned confidence.</x:t>
        </x:is>
      </x:c>
      <x:c r="AA159" s="5" t="inlineStr">
        <x:is>
          <x:t xml:space="preserve">strategy templates / board logic / critique loop</x:t>
        </x:is>
      </x:c>
      <x:c r="AB159" s="5" t="inlineStr">
        <x:is>
          <x:t xml:space="preserve"/>
        </x:is>
      </x:c>
      <x:c r="AC159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59" s="5" t="inlineStr">
        <x:is>
          <x:t xml:space="preserve">OpenAI How People Use ChatGPT paper; Menlo State of Consumer AI 2025; Menlo AI UI Problem 2025</x:t>
        </x:is>
      </x:c>
      <x:c r="AE159" s="11">
        <x:f>IF(O159="High",20,IF(O159="Medium",10,IF(O159="Low",5,0)))+IF(P159="High",20,IF(P159="Medium",10,IF(P159="Low",5,0)))+IF(Q159="High",20,IF(Q159="Medium",10,IF(Q159="Low",5,0)))+IF(R159="High",20,IF(R159="Medium",10,IF(R159="Low",5,0)))+IF(S159="High",20,IF(S159="Medium",10,IF(S159="Low",5,0)))</x:f>
        <x:v>50</x:v>
      </x:c>
      <x:c r="AF159" s="12">
        <x:f>ROUND(H159*0.30+J159*0.25+K159*0.20+(100-AE159)*0.10+(100-(V159*20))*0.15,0)</x:f>
        <x:v>64</x:v>
      </x:c>
      <x:c r="AG159" s="13" t="str">
        <x:f>IF(AF159&gt;=80,"Batch 1",IF(AF159&gt;=70,"Batch 2",IF(AF159&gt;=60,"Batch 3","Backlog")))</x:f>
        <x:v>Batch 3</x:v>
      </x:c>
      <x:c r="AH159" t="inlineStr">
        <x:is>
          <x:t xml:space="preserve"/>
        </x:is>
      </x:c>
    </x:row>
    <x:row r="160">
      <x:c r="A160" s="5" t="inlineStr">
        <x:is>
          <x:t xml:space="preserve">GPO-RES-18</x:t>
        </x:is>
      </x:c>
      <x:c r="B160" s="5" t="n">
        <x:v>156</x:v>
      </x:c>
      <x:c r="C160" s="5" t="inlineStr">
        <x:is>
          <x:t xml:space="preserve">Research &amp; Analysis</x:t>
        </x:is>
      </x:c>
      <x:c r="D160" s="5" t="inlineStr">
        <x:is>
          <x:t xml:space="preserve">Think</x:t>
        </x:is>
      </x:c>
      <x:c r="E160" s="5" t="inlineStr">
        <x:is>
          <x:t xml:space="preserve">Expansion 150</x:t>
        </x:is>
      </x:c>
      <x:c r="F160" s="5" t="n">
        <x:v>18</x:v>
      </x:c>
      <x:c r="G160" s="5" t="inlineStr">
        <x:is>
          <x:t xml:space="preserve">Synthesize multiple sources on {topic} into one usable answer with citations.</x:t>
        </x:is>
      </x:c>
      <x:c r="H160" s="6" t="n">
        <x:v>53</x:v>
      </x:c>
      <x:c r="I160" s="6" t="n">
        <x:v>53</x:v>
      </x:c>
      <x:c r="J160" s="7" t="n">
        <x:v>74</x:v>
      </x:c>
      <x:c r="K160" s="7" t="n">
        <x:v>62</x:v>
      </x:c>
      <x:c r="L160" s="8" t="inlineStr">
        <x:is>
          <x:t xml:space="preserve">UNTESTED</x:t>
        </x:is>
      </x:c>
      <x:c r="M160" s="9" t="inlineStr">
        <x:is>
          <x:t xml:space="preserve">UNTESTED</x:t>
        </x:is>
      </x:c>
      <x:c r="N160" s="5" t="inlineStr">
        <x:is>
          <x:t xml:space="preserve">web research; synthesis; citation discipline; decision framing</x:t>
        </x:is>
      </x:c>
      <x:c r="O160" s="5" t="inlineStr">
        <x:is>
          <x:t xml:space="preserve">High</x:t>
        </x:is>
      </x:c>
      <x:c r="P160" s="5" t="inlineStr">
        <x:is>
          <x:t xml:space="preserve">Medium</x:t>
        </x:is>
      </x:c>
      <x:c r="Q160" s="5" t="inlineStr">
        <x:is>
          <x:t xml:space="preserve">Medium</x:t>
        </x:is>
      </x:c>
      <x:c r="R160" s="5" t="inlineStr">
        <x:is>
          <x:t xml:space="preserve">Medium</x:t>
        </x:is>
      </x:c>
      <x:c r="S160" s="5" t="inlineStr">
        <x:is>
          <x:t xml:space="preserve">Low</x:t>
        </x:is>
      </x:c>
      <x:c r="T160" s="5" t="inlineStr">
        <x:is>
          <x:t xml:space="preserve">ChatGPT with web; Claude for synthesis</x:t>
        </x:is>
      </x:c>
      <x:c r="U160" s="5" t="inlineStr">
        <x:is>
          <x:t xml:space="preserve">Medium</x:t>
        </x:is>
      </x:c>
      <x:c r="V160" s="10" t="n">
        <x:v>2</x:v>
      </x:c>
      <x:c r="W160" s="5" t="inlineStr">
        <x:is>
          <x:t xml:space="preserve">Live research + source validation + recommendation review</x:t>
        </x:is>
      </x:c>
      <x:c r="X160" s="5" t="inlineStr">
        <x:is>
          <x:t xml:space="preserve">brief / comparison / decision memo / risk analysis</x:t>
        </x:is>
      </x:c>
      <x:c r="Y160" s="5" t="inlineStr">
        <x:is>
          <x:t xml:space="preserve">Accurate synthesis with evidence, tradeoffs, and a concrete recommendation.</x:t>
        </x:is>
      </x:c>
      <x:c r="Z160" s="5" t="inlineStr">
        <x:is>
          <x:t xml:space="preserve">Stale facts, no citations, weak reasoning, or surface-level synthesis.</x:t>
        </x:is>
      </x:c>
      <x:c r="AA160" s="5" t="inlineStr">
        <x:is>
          <x:t xml:space="preserve">web integration / citation enforcement / analysis rubric</x:t>
        </x:is>
      </x:c>
      <x:c r="AB160" s="5" t="inlineStr">
        <x:is>
          <x:t xml:space="preserve"/>
        </x:is>
      </x:c>
      <x:c r="AC160" s="5" t="inlineStr">
        <x:is>
          <x:t xml:space="preserve">OpenAI usage paper: Seeking Information is in top 3 categories; work/advice/search are common across Deloitte and OpenAI.</x:t>
        </x:is>
      </x:c>
      <x:c r="AD160" s="5" t="inlineStr">
        <x:is>
          <x:t xml:space="preserve">OpenAI How People Use ChatGPT paper; Deloitte Connected Consumer 2025</x:t>
        </x:is>
      </x:c>
      <x:c r="AE160" s="11">
        <x:f>IF(O160="High",20,IF(O160="Medium",10,IF(O160="Low",5,0)))+IF(P160="High",20,IF(P160="Medium",10,IF(P160="Low",5,0)))+IF(Q160="High",20,IF(Q160="Medium",10,IF(Q160="Low",5,0)))+IF(R160="High",20,IF(R160="Medium",10,IF(R160="Low",5,0)))+IF(S160="High",20,IF(S160="Medium",10,IF(S160="Low",5,0)))</x:f>
        <x:v>55</x:v>
      </x:c>
      <x:c r="AF160" s="12">
        <x:f>ROUND(H160*0.30+J160*0.25+K160*0.20+(100-AE160)*0.10+(100-(V160*20))*0.15,0)</x:f>
        <x:v>60</x:v>
      </x:c>
      <x:c r="AG160" s="13" t="str">
        <x:f>IF(AF160&gt;=80,"Batch 1",IF(AF160&gt;=70,"Batch 2",IF(AF160&gt;=60,"Batch 3","Backlog")))</x:f>
        <x:v>Batch 3</x:v>
      </x:c>
      <x:c r="AH160" t="inlineStr">
        <x:is>
          <x:t xml:space="preserve"/>
        </x:is>
      </x:c>
    </x:row>
    <x:row r="161">
      <x:c r="A161" s="5" t="inlineStr">
        <x:is>
          <x:t xml:space="preserve">GPO-SCH-16</x:t>
        </x:is>
      </x:c>
      <x:c r="B161" s="5" t="n">
        <x:v>157</x:v>
      </x:c>
      <x:c r="C161" s="5" t="inlineStr">
        <x:is>
          <x:t xml:space="preserve">Scheduling &amp; Life Operations</x:t>
        </x:is>
      </x:c>
      <x:c r="D161" s="5" t="inlineStr">
        <x:is>
          <x:t xml:space="preserve">Operate</x:t>
        </x:is>
      </x:c>
      <x:c r="E161" s="5" t="inlineStr">
        <x:is>
          <x:t xml:space="preserve">Expansion 150</x:t>
        </x:is>
      </x:c>
      <x:c r="F161" s="5" t="n">
        <x:v>16</x:v>
      </x:c>
      <x:c r="G161" s="5" t="inlineStr">
        <x:is>
          <x:t xml:space="preserve">Given all these obligations, what should I postpone, delegate, or drop?</x:t>
        </x:is>
      </x:c>
      <x:c r="H161" s="6" t="n">
        <x:v>53</x:v>
      </x:c>
      <x:c r="I161" s="6" t="n">
        <x:v>53</x:v>
      </x:c>
      <x:c r="J161" s="7" t="n">
        <x:v>74</x:v>
      </x:c>
      <x:c r="K161" s="7" t="n">
        <x:v>62</x:v>
      </x:c>
      <x:c r="L161" s="8" t="inlineStr">
        <x:is>
          <x:t xml:space="preserve">UNTESTED</x:t>
        </x:is>
      </x:c>
      <x:c r="M161" s="9" t="inlineStr">
        <x:is>
          <x:t xml:space="preserve">UNTESTED</x:t>
        </x:is>
      </x:c>
      <x:c r="N161" s="5" t="inlineStr">
        <x:is>
          <x:t xml:space="preserve">task planning; prioritization; calendar reasoning; personal constraints handling</x:t>
        </x:is>
      </x:c>
      <x:c r="O161" s="5" t="inlineStr">
        <x:is>
          <x:t xml:space="preserve">Low</x:t>
        </x:is>
      </x:c>
      <x:c r="P161" s="5" t="inlineStr">
        <x:is>
          <x:t xml:space="preserve">High</x:t>
        </x:is>
      </x:c>
      <x:c r="Q161" s="5" t="inlineStr">
        <x:is>
          <x:t xml:space="preserve">Medium</x:t>
        </x:is>
      </x:c>
      <x:c r="R161" s="5" t="inlineStr">
        <x:is>
          <x:t xml:space="preserve">Low</x:t>
        </x:is>
      </x:c>
      <x:c r="S161" s="5" t="inlineStr">
        <x:is>
          <x:t xml:space="preserve">Low</x:t>
        </x:is>
      </x:c>
      <x:c r="T161" s="5" t="inlineStr">
        <x:is>
          <x:t xml:space="preserve">ChatGPT primary; calendar integrations later</x:t>
        </x:is>
      </x:c>
      <x:c r="U161" s="5" t="inlineStr">
        <x:is>
          <x:t xml:space="preserve">Easy</x:t>
        </x:is>
      </x:c>
      <x:c r="V161" s="10" t="n">
        <x:v>1</x:v>
      </x:c>
      <x:c r="W161" s="5" t="inlineStr">
        <x:is>
          <x:t xml:space="preserve">Scenario-based planning + operator utility review</x:t>
        </x:is>
      </x:c>
      <x:c r="X161" s="5" t="inlineStr">
        <x:is>
          <x:t xml:space="preserve">schedule / checklist / operating plan</x:t>
        </x:is>
      </x:c>
      <x:c r="Y161" s="5" t="inlineStr">
        <x:is>
          <x:t xml:space="preserve">Plan is realistic, prioritized, and executable under stated constraints.</x:t>
        </x:is>
      </x:c>
      <x:c r="Z161" s="5" t="inlineStr">
        <x:is>
          <x:t xml:space="preserve">Overpacked schedule, ignored constraints, or vague next steps.</x:t>
        </x:is>
      </x:c>
      <x:c r="AA161" s="5" t="inlineStr">
        <x:is>
          <x:t xml:space="preserve">planner engine / memory / calendar-tool integration</x:t>
        </x:is>
      </x:c>
      <x:c r="AB161" s="5" t="inlineStr">
        <x:is>
          <x:t xml:space="preserve"/>
        </x:is>
      </x:c>
      <x:c r="AC161" s="5" t="inlineStr">
        <x:is>
          <x:t xml:space="preserve">Menlo consumer AI: 18% use AI to manage to-do lists and 15% to organize notes; Zao-Sanders ranked 'Organise my life' #2.</x:t>
        </x:is>
      </x:c>
      <x:c r="AD161" s="5" t="inlineStr">
        <x:is>
          <x:t xml:space="preserve">Menlo State of Consumer AI 2025; Zao-Sanders Top-100 GenAI Use Cases 2025</x:t>
        </x:is>
      </x:c>
      <x:c r="AE161" s="11">
        <x:f>IF(O161="High",20,IF(O161="Medium",10,IF(O161="Low",5,0)))+IF(P161="High",20,IF(P161="Medium",10,IF(P161="Low",5,0)))+IF(Q161="High",20,IF(Q161="Medium",10,IF(Q161="Low",5,0)))+IF(R161="High",20,IF(R161="Medium",10,IF(R161="Low",5,0)))+IF(S161="High",20,IF(S161="Medium",10,IF(S161="Low",5,0)))</x:f>
        <x:v>45</x:v>
      </x:c>
      <x:c r="AF161" s="12">
        <x:f>ROUND(H161*0.30+J161*0.25+K161*0.20+(100-AE161)*0.10+(100-(V161*20))*0.15,0)</x:f>
        <x:v>64</x:v>
      </x:c>
      <x:c r="AG161" s="13" t="str">
        <x:f>IF(AF161&gt;=80,"Batch 1",IF(AF161&gt;=70,"Batch 2",IF(AF161&gt;=60,"Batch 3","Backlog")))</x:f>
        <x:v>Batch 3</x:v>
      </x:c>
      <x:c r="AH161" t="inlineStr">
        <x:is>
          <x:t xml:space="preserve"/>
        </x:is>
      </x:c>
    </x:row>
    <x:row r="162">
      <x:c r="A162" s="5" t="inlineStr">
        <x:is>
          <x:t xml:space="preserve">GPO-SCR-05</x:t>
        </x:is>
      </x:c>
      <x:c r="B162" s="5" t="n">
        <x:v>158</x:v>
      </x:c>
      <x:c r="C162" s="5" t="inlineStr">
        <x:is>
          <x:t xml:space="preserve">Screenwriting &amp; Story Development</x:t>
        </x:is>
      </x:c>
      <x:c r="D162" s="5" t="inlineStr">
        <x:is>
          <x:t xml:space="preserve">Create</x:t>
        </x:is>
      </x:c>
      <x:c r="E162" s="5" t="inlineStr">
        <x:is>
          <x:t xml:space="preserve">Core 150</x:t>
        </x:is>
      </x:c>
      <x:c r="F162" s="5" t="n">
        <x:v>5</x:v>
      </x:c>
      <x:c r="G162" s="5" t="inlineStr">
        <x:is>
          <x:t xml:space="preserve">Brainstorm unexpected story turns that still feel earned.</x:t>
        </x:is>
      </x:c>
      <x:c r="H162" s="6" t="n">
        <x:v>53</x:v>
      </x:c>
      <x:c r="I162" s="6" t="n">
        <x:v>53</x:v>
      </x:c>
      <x:c r="J162" s="7" t="n">
        <x:v>74</x:v>
      </x:c>
      <x:c r="K162" s="7" t="n">
        <x:v>62</x:v>
      </x:c>
      <x:c r="L162" s="8" t="inlineStr">
        <x:is>
          <x:t xml:space="preserve">UNTESTED</x:t>
        </x:is>
      </x:c>
      <x:c r="M162" s="9" t="inlineStr">
        <x:is>
          <x:t xml:space="preserve">UNTESTED</x:t>
        </x:is>
      </x:c>
      <x:c r="N162" s="5" t="inlineStr">
        <x:is>
          <x:t xml:space="preserve">creative ideation; story structure; tone control; character design</x:t>
        </x:is>
      </x:c>
      <x:c r="O162" s="5" t="inlineStr">
        <x:is>
          <x:t xml:space="preserve">Low</x:t>
        </x:is>
      </x:c>
      <x:c r="P162" s="5" t="inlineStr">
        <x:is>
          <x:t xml:space="preserve">Medium</x:t>
        </x:is>
      </x:c>
      <x:c r="Q162" s="5" t="inlineStr">
        <x:is>
          <x:t xml:space="preserve">Low</x:t>
        </x:is>
      </x:c>
      <x:c r="R162" s="5" t="inlineStr">
        <x:is>
          <x:t xml:space="preserve">Low</x:t>
        </x:is>
      </x:c>
      <x:c r="S162" s="5" t="inlineStr">
        <x:is>
          <x:t xml:space="preserve">Low</x:t>
        </x:is>
      </x:c>
      <x:c r="T162" s="5" t="inlineStr">
        <x:is>
          <x:t xml:space="preserve">ChatGPT or Claude creative mode</x:t>
        </x:is>
      </x:c>
      <x:c r="U162" s="5" t="inlineStr">
        <x:is>
          <x:t xml:space="preserve">Easy</x:t>
        </x:is>
      </x:c>
      <x:c r="V162" s="10" t="n">
        <x:v>1</x:v>
      </x:c>
      <x:c r="W162" s="5" t="inlineStr">
        <x:is>
          <x:t xml:space="preserve">Creative prompt run + human taste review</x:t>
        </x:is>
      </x:c>
      <x:c r="X162" s="5" t="inlineStr">
        <x:is>
          <x:t xml:space="preserve">logline / outline / scene rewrite / treatment</x:t>
        </x:is>
      </x:c>
      <x:c r="Y162" s="5" t="inlineStr">
        <x:is>
          <x:t xml:space="preserve">Story work feels coherent, original, and emotionally alive.</x:t>
        </x:is>
      </x:c>
      <x:c r="Z162" s="5" t="inlineStr">
        <x:is>
          <x:t xml:space="preserve">Cliche ideas, flat dialogue, weak stakes, or no tonal discipline.</x:t>
        </x:is>
      </x:c>
      <x:c r="AA162" s="5" t="inlineStr">
        <x:is>
          <x:t xml:space="preserve">creative mode / style packs / development workflow</x:t>
        </x:is>
      </x:c>
      <x:c r="AB162" s="5" t="inlineStr">
        <x:is>
          <x:t xml:space="preserve"/>
        </x:is>
      </x:c>
      <x:c r="AC162" s="5" t="inlineStr">
        <x:is>
          <x:t xml:space="preserve">OpenAI practical guidance includes creative ideation; creator surveys show broad use of generative AI in creative workflows.</x:t>
        </x:is>
      </x:c>
      <x:c r="AD162" s="5" t="inlineStr">
        <x:is>
          <x:t xml:space="preserve">OpenAI How People Use ChatGPT paper; Adobe creators survey 2025; Wondercraft/Digiday creator workflow survey 2025</x:t>
        </x:is>
      </x:c>
      <x:c r="AE162" s="11">
        <x:f>IF(O162="High",20,IF(O162="Medium",10,IF(O162="Low",5,0)))+IF(P162="High",20,IF(P162="Medium",10,IF(P162="Low",5,0)))+IF(Q162="High",20,IF(Q162="Medium",10,IF(Q162="Low",5,0)))+IF(R162="High",20,IF(R162="Medium",10,IF(R162="Low",5,0)))+IF(S162="High",20,IF(S162="Medium",10,IF(S162="Low",5,0)))</x:f>
        <x:v>30</x:v>
      </x:c>
      <x:c r="AF162" s="12">
        <x:f>ROUND(H162*0.30+J162*0.25+K162*0.20+(100-AE162)*0.10+(100-(V162*20))*0.15,0)</x:f>
        <x:v>66</x:v>
      </x:c>
      <x:c r="AG162" s="13" t="str">
        <x:f>IF(AF162&gt;=80,"Batch 1",IF(AF162&gt;=70,"Batch 2",IF(AF162&gt;=60,"Batch 3","Backlog")))</x:f>
        <x:v>Batch 3</x:v>
      </x:c>
      <x:c r="AH162" t="inlineStr">
        <x:is>
          <x:t xml:space="preserve"/>
        </x:is>
      </x:c>
    </x:row>
    <x:row r="163">
      <x:c r="A163" s="5" t="inlineStr">
        <x:is>
          <x:t xml:space="preserve">GPO-HEA-07</x:t>
        </x:is>
      </x:c>
      <x:c r="B163" s="5" t="n">
        <x:v>159</x:v>
      </x:c>
      <x:c r="C163" s="5" t="inlineStr">
        <x:is>
          <x:t xml:space="preserve">Health &amp; Wellness Coach</x:t>
        </x:is>
      </x:c>
      <x:c r="D163" s="5" t="inlineStr">
        <x:is>
          <x:t xml:space="preserve">Care</x:t>
        </x:is>
      </x:c>
      <x:c r="E163" s="5" t="inlineStr">
        <x:is>
          <x:t xml:space="preserve">Core 150</x:t>
        </x:is>
      </x:c>
      <x:c r="F163" s="5" t="n">
        <x:v>7</x:v>
      </x:c>
      <x:c r="G163" s="5" t="inlineStr">
        <x:is>
          <x:t xml:space="preserve">Plan a beginner-to-advanced mobility/stretching routine for my issue.</x:t>
        </x:is>
      </x:c>
      <x:c r="H163" s="6" t="n">
        <x:v>65</x:v>
      </x:c>
      <x:c r="I163" s="6" t="n">
        <x:v>65</x:v>
      </x:c>
      <x:c r="J163" s="7" t="n">
        <x:v>57</x:v>
      </x:c>
      <x:c r="K163" s="7" t="n">
        <x:v>61</x:v>
      </x:c>
      <x:c r="L163" s="8" t="inlineStr">
        <x:is>
          <x:t xml:space="preserve">UNTESTED</x:t>
        </x:is>
      </x:c>
      <x:c r="M163" s="9" t="inlineStr">
        <x:is>
          <x:t xml:space="preserve">UNTESTED</x:t>
        </x:is>
      </x:c>
      <x:c r="N163" s="5" t="inlineStr">
        <x:is>
          <x:t xml:space="preserve">health explanation; risk framing; behavior coaching; careful disclaimer handling</x:t>
        </x:is>
      </x:c>
      <x:c r="O163" s="5" t="inlineStr">
        <x:is>
          <x:t xml:space="preserve">Medium</x:t>
        </x:is>
      </x:c>
      <x:c r="P163" s="5" t="inlineStr">
        <x:is>
          <x:t xml:space="preserve">High</x:t>
        </x:is>
      </x:c>
      <x:c r="Q163" s="5" t="inlineStr">
        <x:is>
          <x:t xml:space="preserve">Low</x:t>
        </x:is>
      </x:c>
      <x:c r="R163" s="5" t="inlineStr">
        <x:is>
          <x:t xml:space="preserve">Low</x:t>
        </x:is>
      </x:c>
      <x:c r="S163" s="5" t="inlineStr">
        <x:is>
          <x:t xml:space="preserve">Medium</x:t>
        </x:is>
      </x:c>
      <x:c r="T163" s="5" t="inlineStr">
        <x:is>
          <x:t xml:space="preserve">ChatGPT primary with careful guardrails</x:t>
        </x:is>
      </x:c>
      <x:c r="U163" s="5" t="inlineStr">
        <x:is>
          <x:t xml:space="preserve">Medium</x:t>
        </x:is>
      </x:c>
      <x:c r="V163" s="10" t="n">
        <x:v>2</x:v>
      </x:c>
      <x:c r="W163" s="5" t="inlineStr">
        <x:is>
          <x:t xml:space="preserve">Scenario prompts + safety review + usefulness review</x:t>
        </x:is>
      </x:c>
      <x:c r="X163" s="5" t="inlineStr">
        <x:is>
          <x:t xml:space="preserve">plan / explanation / checklist / prep brief</x:t>
        </x:is>
      </x:c>
      <x:c r="Y163" s="5" t="inlineStr">
        <x:is>
          <x:t xml:space="preserve">Useful, cautious, practical guidance that stays within safe boundaries.</x:t>
        </x:is>
      </x:c>
      <x:c r="Z163" s="5" t="inlineStr">
        <x:is>
          <x:t xml:space="preserve">Overconfident medical claims, weak escalation guidance, or unsafe advice.</x:t>
        </x:is>
      </x:c>
      <x:c r="AA163" s="5" t="inlineStr">
        <x:is>
          <x:t xml:space="preserve">safety layer / health mode / evidence grounding</x:t>
        </x:is>
      </x:c>
      <x:c r="AB163" s="5" t="inlineStr">
        <x:is>
          <x:t xml:space="preserve"/>
        </x:is>
      </x:c>
      <x:c r="AC163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63" s="5" t="inlineStr">
        <x:is>
          <x:t xml:space="preserve">OpenAI Introducing GPT-5; APPC 2025 health survey; Deloitte Connected Consumer 2025</x:t>
        </x:is>
      </x:c>
      <x:c r="AE163" s="11">
        <x:f>IF(O163="High",20,IF(O163="Medium",10,IF(O163="Low",5,0)))+IF(P163="High",20,IF(P163="Medium",10,IF(P163="Low",5,0)))+IF(Q163="High",20,IF(Q163="Medium",10,IF(Q163="Low",5,0)))+IF(R163="High",20,IF(R163="Medium",10,IF(R163="Low",5,0)))+IF(S163="High",20,IF(S163="Medium",10,IF(S163="Low",5,0)))</x:f>
        <x:v>50</x:v>
      </x:c>
      <x:c r="AF163" s="12">
        <x:f>ROUND(H163*0.30+J163*0.25+K163*0.20+(100-AE163)*0.10+(100-(V163*20))*0.15,0)</x:f>
        <x:v>60</x:v>
      </x:c>
      <x:c r="AG163" s="13" t="str">
        <x:f>IF(AF163&gt;=80,"Batch 1",IF(AF163&gt;=70,"Batch 2",IF(AF163&gt;=60,"Batch 3","Backlog")))</x:f>
        <x:v>Batch 3</x:v>
      </x:c>
      <x:c r="AH163" t="inlineStr">
        <x:is>
          <x:t xml:space="preserve"/>
        </x:is>
      </x:c>
    </x:row>
    <x:row r="164">
      <x:c r="A164" s="5" t="inlineStr">
        <x:is>
          <x:t xml:space="preserve">GPO-CAR-11</x:t>
        </x:is>
      </x:c>
      <x:c r="B164" s="5" t="n">
        <x:v>160</x:v>
      </x:c>
      <x:c r="C164" s="5" t="inlineStr">
        <x:is>
          <x:t xml:space="preserve">Career &amp; Job Search</x:t>
        </x:is>
      </x:c>
      <x:c r="D164" s="5" t="inlineStr">
        <x:is>
          <x:t xml:space="preserve">Advance</x:t>
        </x:is>
      </x:c>
      <x:c r="E164" s="5" t="inlineStr">
        <x:is>
          <x:t xml:space="preserve">Expansion 150</x:t>
        </x:is>
      </x:c>
      <x:c r="F164" s="5" t="n">
        <x:v>11</x:v>
      </x:c>
      <x:c r="G164" s="5" t="inlineStr">
        <x:is>
          <x:t xml:space="preserve">Help me explain career gaps, visa complexity, pivots, or nontraditional moves.</x:t>
        </x:is>
      </x:c>
      <x:c r="H164" s="6" t="n">
        <x:v>51</x:v>
      </x:c>
      <x:c r="I164" s="6" t="n">
        <x:v>51</x:v>
      </x:c>
      <x:c r="J164" s="7" t="n">
        <x:v>76</x:v>
      </x:c>
      <x:c r="K164" s="7" t="n">
        <x:v>62</x:v>
      </x:c>
      <x:c r="L164" s="8" t="inlineStr">
        <x:is>
          <x:t xml:space="preserve">UNTESTED</x:t>
        </x:is>
      </x:c>
      <x:c r="M164" s="9" t="inlineStr">
        <x:is>
          <x:t xml:space="preserve">UNTESTED</x:t>
        </x:is>
      </x:c>
      <x:c r="N164" s="5" t="inlineStr">
        <x:is>
          <x:t xml:space="preserve">resume tailoring; interview prep; role mapping; narrative building</x:t>
        </x:is>
      </x:c>
      <x:c r="O164" s="5" t="inlineStr">
        <x:is>
          <x:t xml:space="preserve">Medium</x:t>
        </x:is>
      </x:c>
      <x:c r="P164" s="5" t="inlineStr">
        <x:is>
          <x:t xml:space="preserve">High</x:t>
        </x:is>
      </x:c>
      <x:c r="Q164" s="5" t="inlineStr">
        <x:is>
          <x:t xml:space="preserve">Low</x:t>
        </x:is>
      </x:c>
      <x:c r="R164" s="5" t="inlineStr">
        <x:is>
          <x:t xml:space="preserve">Low</x:t>
        </x:is>
      </x:c>
      <x:c r="S164" s="5" t="inlineStr">
        <x:is>
          <x:t xml:space="preserve">Low</x:t>
        </x:is>
      </x:c>
      <x:c r="T164" s="5" t="inlineStr">
        <x:is>
          <x:t xml:space="preserve">ChatGPT primary</x:t>
        </x:is>
      </x:c>
      <x:c r="U164" s="5" t="inlineStr">
        <x:is>
          <x:t xml:space="preserve">Easy</x:t>
        </x:is>
      </x:c>
      <x:c r="V164" s="10" t="n">
        <x:v>1</x:v>
      </x:c>
      <x:c r="W164" s="5" t="inlineStr">
        <x:is>
          <x:t xml:space="preserve">Artifact review + mock interview + targeting review</x:t>
        </x:is>
      </x:c>
      <x:c r="X164" s="5" t="inlineStr">
        <x:is>
          <x:t xml:space="preserve">resume / prep plan / outreach / strategy memo</x:t>
        </x:is>
      </x:c>
      <x:c r="Y164" s="5" t="inlineStr">
        <x:is>
          <x:t xml:space="preserve">Career outputs are specific, credible, and materially improve positioning.</x:t>
        </x:is>
      </x:c>
      <x:c r="Z164" s="5" t="inlineStr">
        <x:is>
          <x:t xml:space="preserve">Generic resume language, fake-sounding stories, or weak role fit.</x:t>
        </x:is>
      </x:c>
      <x:c r="AA164" s="5" t="inlineStr">
        <x:is>
          <x:t xml:space="preserve">career templates / memory / ATS-aware output logic</x:t>
        </x:is>
      </x:c>
      <x:c r="AB164" s="5" t="inlineStr">
        <x:is>
          <x:t xml:space="preserve"/>
        </x:is>
      </x:c>
      <x:c r="AC164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64" s="5" t="inlineStr">
        <x:is>
          <x:t xml:space="preserve">Insight Global AI in Hiring Report 2025; NACE student survey 2025/2026</x:t>
        </x:is>
      </x:c>
      <x:c r="AE164" s="11">
        <x:f>IF(O164="High",20,IF(O164="Medium",10,IF(O164="Low",5,0)))+IF(P164="High",20,IF(P164="Medium",10,IF(P164="Low",5,0)))+IF(Q164="High",20,IF(Q164="Medium",10,IF(Q164="Low",5,0)))+IF(R164="High",20,IF(R164="Medium",10,IF(R164="Low",5,0)))+IF(S164="High",20,IF(S164="Medium",10,IF(S164="Low",5,0)))</x:f>
        <x:v>45</x:v>
      </x:c>
      <x:c r="AF164" s="12">
        <x:f>ROUND(H164*0.30+J164*0.25+K164*0.20+(100-AE164)*0.10+(100-(V164*20))*0.15,0)</x:f>
        <x:v>64</x:v>
      </x:c>
      <x:c r="AG164" s="13" t="str">
        <x:f>IF(AF164&gt;=80,"Batch 1",IF(AF164&gt;=70,"Batch 2",IF(AF164&gt;=60,"Batch 3","Backlog")))</x:f>
        <x:v>Batch 3</x:v>
      </x:c>
      <x:c r="AH164" t="inlineStr">
        <x:is>
          <x:t xml:space="preserve"/>
        </x:is>
      </x:c>
    </x:row>
    <x:row r="165">
      <x:c r="A165" s="5" t="inlineStr">
        <x:is>
          <x:t xml:space="preserve">GPO-LEA-18</x:t>
        </x:is>
      </x:c>
      <x:c r="B165" s="5" t="n">
        <x:v>161</x:v>
      </x:c>
      <x:c r="C165" s="5" t="inlineStr">
        <x:is>
          <x:t xml:space="preserve">Learning &amp; Tutoring</x:t>
        </x:is>
      </x:c>
      <x:c r="D165" s="5" t="inlineStr">
        <x:is>
          <x:t xml:space="preserve">Grow</x:t>
        </x:is>
      </x:c>
      <x:c r="E165" s="5" t="inlineStr">
        <x:is>
          <x:t xml:space="preserve">Expansion 150</x:t>
        </x:is>
      </x:c>
      <x:c r="F165" s="5" t="n">
        <x:v>18</x:v>
      </x:c>
      <x:c r="G165" s="5" t="inlineStr">
        <x:is>
          <x:t xml:space="preserve">Generate a weekly revision plan for {exam_or_goal} based on my weak areas.</x:t>
        </x:is>
      </x:c>
      <x:c r="H165" s="6" t="n">
        <x:v>51</x:v>
      </x:c>
      <x:c r="I165" s="6" t="n">
        <x:v>51</x:v>
      </x:c>
      <x:c r="J165" s="7" t="n">
        <x:v>76</x:v>
      </x:c>
      <x:c r="K165" s="7" t="n">
        <x:v>62</x:v>
      </x:c>
      <x:c r="L165" s="8" t="inlineStr">
        <x:is>
          <x:t xml:space="preserve">UNTESTED</x:t>
        </x:is>
      </x:c>
      <x:c r="M165" s="9" t="inlineStr">
        <x:is>
          <x:t xml:space="preserve">UNTESTED</x:t>
        </x:is>
      </x:c>
      <x:c r="N165" s="5" t="inlineStr">
        <x:is>
          <x:t xml:space="preserve">adaptive tutoring; curriculum planning; quiz generation; context retention</x:t>
        </x:is>
      </x:c>
      <x:c r="O165" s="5" t="inlineStr">
        <x:is>
          <x:t xml:space="preserve">Low</x:t>
        </x:is>
      </x:c>
      <x:c r="P165" s="5" t="inlineStr">
        <x:is>
          <x:t xml:space="preserve">High</x:t>
        </x:is>
      </x:c>
      <x:c r="Q165" s="5" t="inlineStr">
        <x:is>
          <x:t xml:space="preserve">Low</x:t>
        </x:is>
      </x:c>
      <x:c r="R165" s="5" t="inlineStr">
        <x:is>
          <x:t xml:space="preserve">Low</x:t>
        </x:is>
      </x:c>
      <x:c r="S165" s="5" t="inlineStr">
        <x:is>
          <x:t xml:space="preserve">Low</x:t>
        </x:is>
      </x:c>
      <x:c r="T165" s="5" t="inlineStr">
        <x:is>
          <x:t xml:space="preserve">ChatGPT primary</x:t>
        </x:is>
      </x:c>
      <x:c r="U165" s="5" t="inlineStr">
        <x:is>
          <x:t xml:space="preserve">Easy</x:t>
        </x:is>
      </x:c>
      <x:c r="V165" s="10" t="n">
        <x:v>1</x:v>
      </x:c>
      <x:c r="W165" s="5" t="inlineStr">
        <x:is>
          <x:t xml:space="preserve">Interactive tutoring session + quality review</x:t>
        </x:is>
      </x:c>
      <x:c r="X165" s="5" t="inlineStr">
        <x:is>
          <x:t xml:space="preserve">lesson / plan / quiz / explanation</x:t>
        </x:is>
      </x:c>
      <x:c r="Y165" s="5" t="inlineStr">
        <x:is>
          <x:t xml:space="preserve">Teaching is accurate, adaptive, and improves understanding rather than over-answering.</x:t>
        </x:is>
      </x:c>
      <x:c r="Z165" s="5" t="inlineStr">
        <x:is>
          <x:t xml:space="preserve">Wrong explanations, over-helping, no adaptation, or generic curriculum.</x:t>
        </x:is>
      </x:c>
      <x:c r="AA165" s="5" t="inlineStr">
        <x:is>
          <x:t xml:space="preserve">tutor mode / memory / scaffolding logic</x:t>
        </x:is>
      </x:c>
      <x:c r="AB165" s="5" t="inlineStr">
        <x:is>
          <x:t xml:space="preserve"/>
        </x:is>
      </x:c>
      <x:c r="AC165" s="5" t="inlineStr">
        <x:is>
          <x:t xml:space="preserve">OpenAI practical guidance includes tutoring; HEPI 2025 says 88% of students use GenAI for assessments, often to explain concepts and summarize articles.</x:t>
        </x:is>
      </x:c>
      <x:c r="AD165" s="5" t="inlineStr">
        <x:is>
          <x:t xml:space="preserve">OpenAI How People Use ChatGPT paper; HEPI Student Generative AI Survey 2025; Brookings 2026 tutoring article</x:t>
        </x:is>
      </x:c>
      <x:c r="AE165" s="11">
        <x:f>IF(O165="High",20,IF(O165="Medium",10,IF(O165="Low",5,0)))+IF(P165="High",20,IF(P165="Medium",10,IF(P165="Low",5,0)))+IF(Q165="High",20,IF(Q165="Medium",10,IF(Q165="Low",5,0)))+IF(R165="High",20,IF(R165="Medium",10,IF(R165="Low",5,0)))+IF(S165="High",20,IF(S165="Medium",10,IF(S165="Low",5,0)))</x:f>
        <x:v>40</x:v>
      </x:c>
      <x:c r="AF165" s="12">
        <x:f>ROUND(H165*0.30+J165*0.25+K165*0.20+(100-AE165)*0.10+(100-(V165*20))*0.15,0)</x:f>
        <x:v>65</x:v>
      </x:c>
      <x:c r="AG165" s="13" t="str">
        <x:f>IF(AF165&gt;=80,"Batch 1",IF(AF165&gt;=70,"Batch 2",IF(AF165&gt;=60,"Batch 3","Backlog")))</x:f>
        <x:v>Batch 3</x:v>
      </x:c>
      <x:c r="AH165" t="inlineStr">
        <x:is>
          <x:t xml:space="preserve"/>
        </x:is>
      </x:c>
    </x:row>
    <x:row r="166">
      <x:c r="A166" s="5" t="inlineStr">
        <x:is>
          <x:t xml:space="preserve">GPO-TRA-13</x:t>
        </x:is>
      </x:c>
      <x:c r="B166" s="5" t="n">
        <x:v>162</x:v>
      </x:c>
      <x:c r="C166" s="5" t="inlineStr">
        <x:is>
          <x:t xml:space="preserve">Travel &amp; Relocation Planner</x:t>
        </x:is>
      </x:c>
      <x:c r="D166" s="5" t="inlineStr">
        <x:is>
          <x:t xml:space="preserve">Move</x:t>
        </x:is>
      </x:c>
      <x:c r="E166" s="5" t="inlineStr">
        <x:is>
          <x:t xml:space="preserve">Expansion 150</x:t>
        </x:is>
      </x:c>
      <x:c r="F166" s="5" t="n">
        <x:v>13</x:v>
      </x:c>
      <x:c r="G166" s="5" t="inlineStr">
        <x:is>
          <x:t xml:space="preserve">Plan a relocation strategy considering job market, taxes, lifestyle, and long-term fit.</x:t>
        </x:is>
      </x:c>
      <x:c r="H166" s="6" t="n">
        <x:v>53</x:v>
      </x:c>
      <x:c r="I166" s="6" t="n">
        <x:v>53</x:v>
      </x:c>
      <x:c r="J166" s="7" t="n">
        <x:v>73</x:v>
      </x:c>
      <x:c r="K166" s="7" t="n">
        <x:v>62</x:v>
      </x:c>
      <x:c r="L166" s="8" t="inlineStr">
        <x:is>
          <x:t xml:space="preserve">UNTESTED</x:t>
        </x:is>
      </x:c>
      <x:c r="M166" s="9" t="inlineStr">
        <x:is>
          <x:t xml:space="preserve">UNTESTED</x:t>
        </x:is>
      </x:c>
      <x:c r="N166" s="5" t="inlineStr">
        <x:is>
          <x:t xml:space="preserve">travel research; itinerary planning; logistics reasoning; contingency planning</x:t>
        </x:is>
      </x:c>
      <x:c r="O166" s="5" t="inlineStr">
        <x:is>
          <x:t xml:space="preserve">High</x:t>
        </x:is>
      </x:c>
      <x:c r="P166" s="5" t="inlineStr">
        <x:is>
          <x:t xml:space="preserve">Medium</x:t>
        </x:is>
      </x:c>
      <x:c r="Q166" s="5" t="inlineStr">
        <x:is>
          <x:t xml:space="preserve">Medium</x:t>
        </x:is>
      </x:c>
      <x:c r="R166" s="5" t="inlineStr">
        <x:is>
          <x:t xml:space="preserve">Low</x:t>
        </x:is>
      </x:c>
      <x:c r="S166" s="5" t="inlineStr">
        <x:is>
          <x:t xml:space="preserve">Low</x:t>
        </x:is>
      </x:c>
      <x:c r="T166" s="5" t="inlineStr">
        <x:is>
          <x:t xml:space="preserve">ChatGPT with web; maps/calendar later</x:t>
        </x:is>
      </x:c>
      <x:c r="U166" s="5" t="inlineStr">
        <x:is>
          <x:t xml:space="preserve">Easy</x:t>
        </x:is>
      </x:c>
      <x:c r="V166" s="10" t="n">
        <x:v>1</x:v>
      </x:c>
      <x:c r="W166" s="5" t="inlineStr">
        <x:is>
          <x:t xml:space="preserve">Live trip planning + feasibility review</x:t>
        </x:is>
      </x:c>
      <x:c r="X166" s="5" t="inlineStr">
        <x:is>
          <x:t xml:space="preserve">itinerary / relocation plan / checklist</x:t>
        </x:is>
      </x:c>
      <x:c r="Y166" s="5" t="inlineStr">
        <x:is>
          <x:t xml:space="preserve">Plan is current, geographically sensible, and tuned to budget/constraints.</x:t>
        </x:is>
      </x:c>
      <x:c r="Z166" s="5" t="inlineStr">
        <x:is>
          <x:t xml:space="preserve">Bad logistics, stale info, wrong timing, or generic travel advice.</x:t>
        </x:is>
      </x:c>
      <x:c r="AA166" s="5" t="inlineStr">
        <x:is>
          <x:t xml:space="preserve">travel templates / web + mapping integration / logistics engine</x:t>
        </x:is>
      </x:c>
      <x:c r="AB166" s="5" t="inlineStr">
        <x:is>
          <x:t xml:space="preserve"/>
        </x:is>
      </x:c>
      <x:c r="AC166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66" s="5" t="inlineStr">
        <x:is>
          <x:t xml:space="preserve">Deloitte Connected Consumer 2025; Adobe travel planning 2025</x:t>
        </x:is>
      </x:c>
      <x:c r="AE166" s="11">
        <x:f>IF(O166="High",20,IF(O166="Medium",10,IF(O166="Low",5,0)))+IF(P166="High",20,IF(P166="Medium",10,IF(P166="Low",5,0)))+IF(Q166="High",20,IF(Q166="Medium",10,IF(Q166="Low",5,0)))+IF(R166="High",20,IF(R166="Medium",10,IF(R166="Low",5,0)))+IF(S166="High",20,IF(S166="Medium",10,IF(S166="Low",5,0)))</x:f>
        <x:v>50</x:v>
      </x:c>
      <x:c r="AF166" s="12">
        <x:f>ROUND(H166*0.30+J166*0.25+K166*0.20+(100-AE166)*0.10+(100-(V166*20))*0.15,0)</x:f>
        <x:v>64</x:v>
      </x:c>
      <x:c r="AG166" s="13" t="str">
        <x:f>IF(AF166&gt;=80,"Batch 1",IF(AF166&gt;=70,"Batch 2",IF(AF166&gt;=60,"Batch 3","Backlog")))</x:f>
        <x:v>Batch 3</x:v>
      </x:c>
      <x:c r="AH166" t="inlineStr">
        <x:is>
          <x:t xml:space="preserve"/>
        </x:is>
      </x:c>
    </x:row>
    <x:row r="167">
      <x:c r="A167" s="5" t="inlineStr">
        <x:is>
          <x:t xml:space="preserve">GPO-SHO-15</x:t>
        </x:is>
      </x:c>
      <x:c r="B167" s="5" t="n">
        <x:v>163</x:v>
      </x:c>
      <x:c r="C167" s="5" t="inlineStr">
        <x:is>
          <x:t xml:space="preserve">Shopping &amp; Buying Advisor</x:t>
        </x:is>
      </x:c>
      <x:c r="D167" s="5" t="inlineStr">
        <x:is>
          <x:t xml:space="preserve">Buy</x:t>
        </x:is>
      </x:c>
      <x:c r="E167" s="5" t="inlineStr">
        <x:is>
          <x:t xml:space="preserve">Expansion 150</x:t>
        </x:is>
      </x:c>
      <x:c r="F167" s="5" t="n">
        <x:v>15</x:v>
      </x:c>
      <x:c r="G167" s="5" t="inlineStr">
        <x:is>
          <x:t xml:space="preserve">Compare price, warranty, support, and resale value for this category.</x:t>
        </x:is>
      </x:c>
      <x:c r="H167" s="6" t="n">
        <x:v>52</x:v>
      </x:c>
      <x:c r="I167" s="6" t="n">
        <x:v>52</x:v>
      </x:c>
      <x:c r="J167" s="7" t="n">
        <x:v>74</x:v>
      </x:c>
      <x:c r="K167" s="7" t="n">
        <x:v>62</x:v>
      </x:c>
      <x:c r="L167" s="8" t="inlineStr">
        <x:is>
          <x:t xml:space="preserve">UNTESTED</x:t>
        </x:is>
      </x:c>
      <x:c r="M167" s="9" t="inlineStr">
        <x:is>
          <x:t xml:space="preserve">UNTESTED</x:t>
        </x:is>
      </x:c>
      <x:c r="N167" s="5" t="inlineStr">
        <x:is>
          <x:t xml:space="preserve">web/product research; comparison; price-value reasoning; shortlist generation</x:t>
        </x:is>
      </x:c>
      <x:c r="O167" s="5" t="inlineStr">
        <x:is>
          <x:t xml:space="preserve">High</x:t>
        </x:is>
      </x:c>
      <x:c r="P167" s="5" t="inlineStr">
        <x:is>
          <x:t xml:space="preserve">Medium</x:t>
        </x:is>
      </x:c>
      <x:c r="Q167" s="5" t="inlineStr">
        <x:is>
          <x:t xml:space="preserve">Medium</x:t>
        </x:is>
      </x:c>
      <x:c r="R167" s="5" t="inlineStr">
        <x:is>
          <x:t xml:space="preserve">Low</x:t>
        </x:is>
      </x:c>
      <x:c r="S167" s="5" t="inlineStr">
        <x:is>
          <x:t xml:space="preserve">Low</x:t>
        </x:is>
      </x:c>
      <x:c r="T167" s="5" t="inlineStr">
        <x:is>
          <x:t xml:space="preserve">ChatGPT with web</x:t>
        </x:is>
      </x:c>
      <x:c r="U167" s="5" t="inlineStr">
        <x:is>
          <x:t xml:space="preserve">Easy</x:t>
        </x:is>
      </x:c>
      <x:c r="V167" s="10" t="n">
        <x:v>1</x:v>
      </x:c>
      <x:c r="W167" s="5" t="inlineStr">
        <x:is>
          <x:t xml:space="preserve">Live shopping query + recommendation validation</x:t>
        </x:is>
      </x:c>
      <x:c r="X167" s="5" t="inlineStr">
        <x:is>
          <x:t xml:space="preserve">shortlist / recommendation / comparison / cart plan</x:t>
        </x:is>
      </x:c>
      <x:c r="Y167" s="5" t="inlineStr">
        <x:is>
          <x:t xml:space="preserve">Recommendation fits constraints and explains tradeoffs clearly.</x:t>
        </x:is>
      </x:c>
      <x:c r="Z167" s="5" t="inlineStr">
        <x:is>
          <x:t xml:space="preserve">Outdated products, poor fit, missed constraints, or shallow comparison.</x:t>
        </x:is>
      </x:c>
      <x:c r="AA167" s="5" t="inlineStr">
        <x:is>
          <x:t xml:space="preserve">web/product retrieval / comparison template / user preference memory</x:t>
        </x:is>
      </x:c>
      <x:c r="AB167" s="5" t="inlineStr">
        <x:is>
          <x:t xml:space="preserve"/>
        </x:is>
      </x:c>
      <x:c r="AC167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67" s="5" t="inlineStr">
        <x:is>
          <x:t xml:space="preserve">Deloitte Connected Consumer 2025; Salesforce Connected Shopper 2025; IAB 2025 shopping study</x:t>
        </x:is>
      </x:c>
      <x:c r="AE167" s="11">
        <x:f>IF(O167="High",20,IF(O167="Medium",10,IF(O167="Low",5,0)))+IF(P167="High",20,IF(P167="Medium",10,IF(P167="Low",5,0)))+IF(Q167="High",20,IF(Q167="Medium",10,IF(Q167="Low",5,0)))+IF(R167="High",20,IF(R167="Medium",10,IF(R167="Low",5,0)))+IF(S167="High",20,IF(S167="Medium",10,IF(S167="Low",5,0)))</x:f>
        <x:v>50</x:v>
      </x:c>
      <x:c r="AF167" s="12">
        <x:f>ROUND(H167*0.30+J167*0.25+K167*0.20+(100-AE167)*0.10+(100-(V167*20))*0.15,0)</x:f>
        <x:v>64</x:v>
      </x:c>
      <x:c r="AG167" s="13" t="str">
        <x:f>IF(AF167&gt;=80,"Batch 1",IF(AF167&gt;=70,"Batch 2",IF(AF167&gt;=60,"Batch 3","Backlog")))</x:f>
        <x:v>Batch 3</x:v>
      </x:c>
      <x:c r="AH167" t="inlineStr">
        <x:is>
          <x:t xml:space="preserve"/>
        </x:is>
      </x:c>
    </x:row>
    <x:row r="168">
      <x:c r="A168" s="5" t="inlineStr">
        <x:is>
          <x:t xml:space="preserve">GPO-WRI-21</x:t>
        </x:is>
      </x:c>
      <x:c r="B168" s="5" t="n">
        <x:v>164</x:v>
      </x:c>
      <x:c r="C168" s="5" t="inlineStr">
        <x:is>
          <x:t xml:space="preserve">Writing &amp; Documentation</x:t>
        </x:is>
      </x:c>
      <x:c r="D168" s="5" t="inlineStr">
        <x:is>
          <x:t xml:space="preserve">Create</x:t>
        </x:is>
      </x:c>
      <x:c r="E168" s="5" t="inlineStr">
        <x:is>
          <x:t xml:space="preserve">Stretch 60</x:t>
        </x:is>
      </x:c>
      <x:c r="F168" s="5" t="n">
        <x:v>21</x:v>
      </x:c>
      <x:c r="G168" s="5" t="inlineStr">
        <x:is>
          <x:t xml:space="preserve">Generate a full release packet for a major launch including internal memo, customer note, FAQ, and rollback note.</x:t>
        </x:is>
      </x:c>
      <x:c r="H168" s="6" t="n">
        <x:v>49</x:v>
      </x:c>
      <x:c r="I168" s="6" t="n">
        <x:v>49</x:v>
      </x:c>
      <x:c r="J168" s="7" t="n">
        <x:v>78</x:v>
      </x:c>
      <x:c r="K168" s="7" t="n">
        <x:v>62</x:v>
      </x:c>
      <x:c r="L168" s="8" t="inlineStr">
        <x:is>
          <x:t xml:space="preserve">UNTESTED</x:t>
        </x:is>
      </x:c>
      <x:c r="M168" s="9" t="inlineStr">
        <x:is>
          <x:t xml:space="preserve">UNTESTED</x:t>
        </x:is>
      </x:c>
      <x:c r="N168" s="5" t="inlineStr">
        <x:is>
          <x:t xml:space="preserve">writing quality; summarization; style control; structured artifacts</x:t>
        </x:is>
      </x:c>
      <x:c r="O168" s="5" t="inlineStr">
        <x:is>
          <x:t xml:space="preserve">Low</x:t>
        </x:is>
      </x:c>
      <x:c r="P168" s="5" t="inlineStr">
        <x:is>
          <x:t xml:space="preserve">Medium</x:t>
        </x:is>
      </x:c>
      <x:c r="Q168" s="5" t="inlineStr">
        <x:is>
          <x:t xml:space="preserve">Low</x:t>
        </x:is>
      </x:c>
      <x:c r="R168" s="5" t="inlineStr">
        <x:is>
          <x:t xml:space="preserve">Low</x:t>
        </x:is>
      </x:c>
      <x:c r="S168" s="5" t="inlineStr">
        <x:is>
          <x:t xml:space="preserve">Low</x:t>
        </x:is>
      </x:c>
      <x:c r="T168" s="5" t="inlineStr">
        <x:is>
          <x:t xml:space="preserve">ChatGPT or Claude; human review optional</x:t>
        </x:is>
      </x:c>
      <x:c r="U168" s="5" t="inlineStr">
        <x:is>
          <x:t xml:space="preserve">Medium</x:t>
        </x:is>
      </x:c>
      <x:c r="V168" s="10" t="n">
        <x:v>2</x:v>
      </x:c>
      <x:c r="W168" s="5" t="inlineStr">
        <x:is>
          <x:t xml:space="preserve">Prompt execution + artifact quality review</x:t>
        </x:is>
      </x:c>
      <x:c r="X168" s="5" t="inlineStr">
        <x:is>
          <x:t xml:space="preserve">doc / memo / email / FAQ / summary</x:t>
        </x:is>
      </x:c>
      <x:c r="Y168" s="5" t="inlineStr">
        <x:is>
          <x:t xml:space="preserve">Output is clear, tailored, structurally sound, and immediately usable.</x:t>
        </x:is>
      </x:c>
      <x:c r="Z168" s="5" t="inlineStr">
        <x:is>
          <x:t xml:space="preserve">Generic tone, missing context, weak structure, or wrong audience level.</x:t>
        </x:is>
      </x:c>
      <x:c r="AA168" s="5" t="inlineStr">
        <x:is>
          <x:t xml:space="preserve">prompt pack / style guidance / output schema</x:t>
        </x:is>
      </x:c>
      <x:c r="AB168" s="5" t="inlineStr">
        <x:is>
          <x:t xml:space="preserve"/>
        </x:is>
      </x:c>
      <x:c r="AC168" s="5" t="inlineStr">
        <x:is>
          <x:t xml:space="preserve">OpenAI usage paper: Writing is in top 3 categories; Menlo consumer AI says 19% use AI to write emails and 18% get writing support.</x:t>
        </x:is>
      </x:c>
      <x:c r="AD168" s="5" t="inlineStr">
        <x:is>
          <x:t xml:space="preserve">OpenAI How People Use ChatGPT paper; Menlo State of Consumer AI 2025</x:t>
        </x:is>
      </x:c>
      <x:c r="AE168" s="11">
        <x:f>IF(O168="High",20,IF(O168="Medium",10,IF(O168="Low",5,0)))+IF(P168="High",20,IF(P168="Medium",10,IF(P168="Low",5,0)))+IF(Q168="High",20,IF(Q168="Medium",10,IF(Q168="Low",5,0)))+IF(R168="High",20,IF(R168="Medium",10,IF(R168="Low",5,0)))+IF(S168="High",20,IF(S168="Medium",10,IF(S168="Low",5,0)))</x:f>
        <x:v>30</x:v>
      </x:c>
      <x:c r="AF168" s="12">
        <x:f>ROUND(H168*0.30+J168*0.25+K168*0.20+(100-AE168)*0.10+(100-(V168*20))*0.15,0)</x:f>
        <x:v>63</x:v>
      </x:c>
      <x:c r="AG168" s="13" t="str">
        <x:f>IF(AF168&gt;=80,"Batch 1",IF(AF168&gt;=70,"Batch 2",IF(AF168&gt;=60,"Batch 3","Backlog")))</x:f>
        <x:v>Batch 3</x:v>
      </x:c>
      <x:c r="AH168" t="inlineStr">
        <x:is>
          <x:t xml:space="preserve"/>
        </x:is>
      </x:c>
    </x:row>
    <x:row r="169">
      <x:c r="A169" s="5" t="inlineStr">
        <x:is>
          <x:t xml:space="preserve">GPO-STA-11</x:t>
        </x:is>
      </x:c>
      <x:c r="B169" s="5" t="n">
        <x:v>165</x:v>
      </x:c>
      <x:c r="C169" s="5" t="inlineStr">
        <x:is>
          <x:t xml:space="preserve">Startup &amp; Business Builder</x:t>
        </x:is>
      </x:c>
      <x:c r="D169" s="5" t="inlineStr">
        <x:is>
          <x:t xml:space="preserve">Build</x:t>
        </x:is>
      </x:c>
      <x:c r="E169" s="5" t="inlineStr">
        <x:is>
          <x:t xml:space="preserve">Expansion 150</x:t>
        </x:is>
      </x:c>
      <x:c r="F169" s="5" t="n">
        <x:v>11</x:v>
      </x:c>
      <x:c r="G169" s="5" t="inlineStr">
        <x:is>
          <x:t xml:space="preserve">Tell me what customer discovery questions I should ask before building.</x:t>
        </x:is>
      </x:c>
      <x:c r="H169" s="6" t="n">
        <x:v>53</x:v>
      </x:c>
      <x:c r="I169" s="6" t="n">
        <x:v>53</x:v>
      </x:c>
      <x:c r="J169" s="7" t="n">
        <x:v>72</x:v>
      </x:c>
      <x:c r="K169" s="7" t="n">
        <x:v>62</x:v>
      </x:c>
      <x:c r="L169" s="8" t="inlineStr">
        <x:is>
          <x:t xml:space="preserve">UNTESTED</x:t>
        </x:is>
      </x:c>
      <x:c r="M169" s="9" t="inlineStr">
        <x:is>
          <x:t xml:space="preserve">UNTESTED</x:t>
        </x:is>
      </x:c>
      <x:c r="N169" s="5" t="inlineStr">
        <x:is>
          <x:t xml:space="preserve">strategy; product thinking; GTM reasoning; structured planning</x:t>
        </x:is>
      </x:c>
      <x:c r="O169" s="5" t="inlineStr">
        <x:is>
          <x:t xml:space="preserve">Medium</x:t>
        </x:is>
      </x:c>
      <x:c r="P169" s="5" t="inlineStr">
        <x:is>
          <x:t xml:space="preserve">High</x:t>
        </x:is>
      </x:c>
      <x:c r="Q169" s="5" t="inlineStr">
        <x:is>
          <x:t xml:space="preserve">Low</x:t>
        </x:is>
      </x:c>
      <x:c r="R169" s="5" t="inlineStr">
        <x:is>
          <x:t xml:space="preserve">Medium</x:t>
        </x:is>
      </x:c>
      <x:c r="S169" s="5" t="inlineStr">
        <x:is>
          <x:t xml:space="preserve">Low</x:t>
        </x:is>
      </x:c>
      <x:c r="T169" s="5" t="inlineStr">
        <x:is>
          <x:t xml:space="preserve">Claude + ChatGPT combo</x:t>
        </x:is>
      </x:c>
      <x:c r="U169" s="5" t="inlineStr">
        <x:is>
          <x:t xml:space="preserve">Easy</x:t>
        </x:is>
      </x:c>
      <x:c r="V169" s="10" t="n">
        <x:v>1</x:v>
      </x:c>
      <x:c r="W169" s="5" t="inlineStr">
        <x:is>
          <x:t xml:space="preserve">Plan generation + critique + strategic review</x:t>
        </x:is>
      </x:c>
      <x:c r="X169" s="5" t="inlineStr">
        <x:is>
          <x:t xml:space="preserve">roadmap / GTM plan / business memo</x:t>
        </x:is>
      </x:c>
      <x:c r="Y169" s="5" t="inlineStr">
        <x:is>
          <x:t xml:space="preserve">Recommendation is strategically sharp, prioritized, and grounded in market reality.</x:t>
        </x:is>
      </x:c>
      <x:c r="Z169" s="5" t="inlineStr">
        <x:is>
          <x:t xml:space="preserve">Buzzwordy output, no wedge, weak prioritization, or unearned confidence.</x:t>
        </x:is>
      </x:c>
      <x:c r="AA169" s="5" t="inlineStr">
        <x:is>
          <x:t xml:space="preserve">strategy templates / board logic / critique loop</x:t>
        </x:is>
      </x:c>
      <x:c r="AB169" s="5" t="inlineStr">
        <x:is>
          <x:t xml:space="preserve"/>
        </x:is>
      </x:c>
      <x:c r="AC169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69" s="5" t="inlineStr">
        <x:is>
          <x:t xml:space="preserve">OpenAI How People Use ChatGPT paper; Menlo State of Consumer AI 2025; Menlo AI UI Problem 2025</x:t>
        </x:is>
      </x:c>
      <x:c r="AE169" s="11">
        <x:f>IF(O169="High",20,IF(O169="Medium",10,IF(O169="Low",5,0)))+IF(P169="High",20,IF(P169="Medium",10,IF(P169="Low",5,0)))+IF(Q169="High",20,IF(Q169="Medium",10,IF(Q169="Low",5,0)))+IF(R169="High",20,IF(R169="Medium",10,IF(R169="Low",5,0)))+IF(S169="High",20,IF(S169="Medium",10,IF(S169="Low",5,0)))</x:f>
        <x:v>50</x:v>
      </x:c>
      <x:c r="AF169" s="12">
        <x:f>ROUND(H169*0.30+J169*0.25+K169*0.20+(100-AE169)*0.10+(100-(V169*20))*0.15,0)</x:f>
        <x:v>63</x:v>
      </x:c>
      <x:c r="AG169" s="13" t="str">
        <x:f>IF(AF169&gt;=80,"Batch 1",IF(AF169&gt;=70,"Batch 2",IF(AF169&gt;=60,"Batch 3","Backlog")))</x:f>
        <x:v>Batch 3</x:v>
      </x:c>
      <x:c r="AH169" t="inlineStr">
        <x:is>
          <x:t xml:space="preserve"/>
        </x:is>
      </x:c>
    </x:row>
    <x:row r="170">
      <x:c r="A170" s="5" t="inlineStr">
        <x:is>
          <x:t xml:space="preserve">GPO-COD-21</x:t>
        </x:is>
      </x:c>
      <x:c r="B170" s="5" t="n">
        <x:v>166</x:v>
      </x:c>
      <x:c r="C170" s="5" t="inlineStr">
        <x:is>
          <x:t xml:space="preserve">Code &amp; Product Engineering</x:t>
        </x:is>
      </x:c>
      <x:c r="D170" s="5" t="inlineStr">
        <x:is>
          <x:t xml:space="preserve">Build</x:t>
        </x:is>
      </x:c>
      <x:c r="E170" s="5" t="inlineStr">
        <x:is>
          <x:t xml:space="preserve">Stretch 60</x:t>
        </x:is>
      </x:c>
      <x:c r="F170" s="5" t="n">
        <x:v>21</x:v>
      </x:c>
      <x:c r="G170" s="5" t="inlineStr">
        <x:is>
          <x:t xml:space="preserve">Create an agent-safe fallback path when the primary tool/model fails mid-task.</x:t>
        </x:is>
      </x:c>
      <x:c r="H170" s="6" t="n">
        <x:v>50</x:v>
      </x:c>
      <x:c r="I170" s="6" t="n">
        <x:v>50</x:v>
      </x:c>
      <x:c r="J170" s="7" t="n">
        <x:v>76</x:v>
      </x:c>
      <x:c r="K170" s="7" t="n">
        <x:v>62</x:v>
      </x:c>
      <x:c r="L170" s="8" t="inlineStr">
        <x:is>
          <x:t xml:space="preserve">UNTESTED</x:t>
        </x:is>
      </x:c>
      <x:c r="M170" s="9" t="inlineStr">
        <x:is>
          <x:t xml:space="preserve">UNTESTED</x:t>
        </x:is>
      </x:c>
      <x:c r="N170" s="5" t="inlineStr">
        <x:is>
          <x:t xml:space="preserve">routing; code reasoning; repo context; file edit; test execution; structured output</x:t>
        </x:is>
      </x:c>
      <x:c r="O170" s="5" t="inlineStr">
        <x:is>
          <x:t xml:space="preserve">No</x:t>
        </x:is>
      </x:c>
      <x:c r="P170" s="5" t="inlineStr">
        <x:is>
          <x:t xml:space="preserve">Medium</x:t>
        </x:is>
      </x:c>
      <x:c r="Q170" s="5" t="inlineStr">
        <x:is>
          <x:t xml:space="preserve">High</x:t>
        </x:is>
      </x:c>
      <x:c r="R170" s="5" t="inlineStr">
        <x:is>
          <x:t xml:space="preserve">Medium</x:t>
        </x:is>
      </x:c>
      <x:c r="S170" s="5" t="inlineStr">
        <x:is>
          <x:t xml:space="preserve">Low</x:t>
        </x:is>
      </x:c>
      <x:c r="T170" s="5" t="inlineStr">
        <x:is>
          <x:t xml:space="preserve">Claude Code primary; ChatGPT critique; web optional</x:t>
        </x:is>
      </x:c>
      <x:c r="U170" s="5" t="inlineStr">
        <x:is>
          <x:t xml:space="preserve">Hard</x:t>
        </x:is>
      </x:c>
      <x:c r="V170" s="10" t="n">
        <x:v>3</x:v>
      </x:c>
      <x:c r="W170" s="5" t="inlineStr">
        <x:is>
          <x:t xml:space="preserve">Live execution + code diff + output review</x:t>
        </x:is>
      </x:c>
      <x:c r="X170" s="5" t="inlineStr">
        <x:is>
          <x:t xml:space="preserve">code patch / spec / architecture / debug report</x:t>
        </x:is>
      </x:c>
      <x:c r="Y170" s="5" t="inlineStr">
        <x:is>
          <x:t xml:space="preserve">Produces correct technical plan or working code without breaking current behavior.</x:t>
        </x:is>
      </x:c>
      <x:c r="Z170" s="5" t="inlineStr">
        <x:is>
          <x:t xml:space="preserve">Hallucinated codebase facts, unsafe refactor, broken tests, or vague technical output.</x:t>
        </x:is>
      </x:c>
      <x:c r="AA170" s="5" t="inlineStr">
        <x:is>
          <x:t xml:space="preserve">routing / tool wiring / repo context / codegen guardrails</x:t>
        </x:is>
      </x:c>
      <x:c r="AB170" s="5" t="inlineStr">
        <x:is>
          <x:t xml:space="preserve"/>
        </x:is>
      </x:c>
      <x:c r="AC170" s="5" t="inlineStr">
        <x:is>
          <x:t xml:space="preserve">OpenAI/common use: writing+coding; Menlo enterprise coding is 55% of departmental AI spend; Deloitte top app: work assistance.</x:t>
        </x:is>
      </x:c>
      <x:c r="AD170" s="5" t="inlineStr">
        <x:is>
          <x:t xml:space="preserve">OpenAI GPT-5 / How People Use ChatGPT; Menlo State of GenAI in Enterprise 2025; Deloitte Connected Consumer 2025</x:t>
        </x:is>
      </x:c>
      <x:c r="AE170" s="11">
        <x:f>IF(O170="High",20,IF(O170="Medium",10,IF(O170="Low",5,0)))+IF(P170="High",20,IF(P170="Medium",10,IF(P170="Low",5,0)))+IF(Q170="High",20,IF(Q170="Medium",10,IF(Q170="Low",5,0)))+IF(R170="High",20,IF(R170="Medium",10,IF(R170="Low",5,0)))+IF(S170="High",20,IF(S170="Medium",10,IF(S170="Low",5,0)))</x:f>
        <x:v>45</x:v>
      </x:c>
      <x:c r="AF170" s="12">
        <x:f>ROUND(H170*0.30+J170*0.25+K170*0.20+(100-AE170)*0.10+(100-(V170*20))*0.15,0)</x:f>
        <x:v>58</x:v>
      </x:c>
      <x:c r="AG170" s="13" t="str">
        <x:f>IF(AF170&gt;=80,"Batch 1",IF(AF170&gt;=70,"Batch 2",IF(AF170&gt;=60,"Batch 3","Backlog")))</x:f>
        <x:v>Backlog</x:v>
      </x:c>
      <x:c r="AH170" t="inlineStr">
        <x:is>
          <x:t xml:space="preserve"/>
        </x:is>
      </x:c>
    </x:row>
    <x:row r="171">
      <x:c r="A171" s="5" t="inlineStr">
        <x:is>
          <x:t xml:space="preserve">GPO-LEA-19</x:t>
        </x:is>
      </x:c>
      <x:c r="B171" s="5" t="n">
        <x:v>167</x:v>
      </x:c>
      <x:c r="C171" s="5" t="inlineStr">
        <x:is>
          <x:t xml:space="preserve">Learning &amp; Tutoring</x:t>
        </x:is>
      </x:c>
      <x:c r="D171" s="5" t="inlineStr">
        <x:is>
          <x:t xml:space="preserve">Grow</x:t>
        </x:is>
      </x:c>
      <x:c r="E171" s="5" t="inlineStr">
        <x:is>
          <x:t xml:space="preserve">Expansion 150</x:t>
        </x:is>
      </x:c>
      <x:c r="F171" s="5" t="n">
        <x:v>19</x:v>
      </x:c>
      <x:c r="G171" s="5" t="inlineStr">
        <x:is>
          <x:t xml:space="preserve">Teach me the skill through conversation and correction.</x:t>
        </x:is>
      </x:c>
      <x:c r="H171" s="6" t="n">
        <x:v>50</x:v>
      </x:c>
      <x:c r="I171" s="6" t="n">
        <x:v>50</x:v>
      </x:c>
      <x:c r="J171" s="7" t="n">
        <x:v>76</x:v>
      </x:c>
      <x:c r="K171" s="7" t="n">
        <x:v>62</x:v>
      </x:c>
      <x:c r="L171" s="8" t="inlineStr">
        <x:is>
          <x:t xml:space="preserve">UNTESTED</x:t>
        </x:is>
      </x:c>
      <x:c r="M171" s="9" t="inlineStr">
        <x:is>
          <x:t xml:space="preserve">UNTESTED</x:t>
        </x:is>
      </x:c>
      <x:c r="N171" s="5" t="inlineStr">
        <x:is>
          <x:t xml:space="preserve">adaptive tutoring; curriculum planning; quiz generation; context retention</x:t>
        </x:is>
      </x:c>
      <x:c r="O171" s="5" t="inlineStr">
        <x:is>
          <x:t xml:space="preserve">Low</x:t>
        </x:is>
      </x:c>
      <x:c r="P171" s="5" t="inlineStr">
        <x:is>
          <x:t xml:space="preserve">High</x:t>
        </x:is>
      </x:c>
      <x:c r="Q171" s="5" t="inlineStr">
        <x:is>
          <x:t xml:space="preserve">Low</x:t>
        </x:is>
      </x:c>
      <x:c r="R171" s="5" t="inlineStr">
        <x:is>
          <x:t xml:space="preserve">Low</x:t>
        </x:is>
      </x:c>
      <x:c r="S171" s="5" t="inlineStr">
        <x:is>
          <x:t xml:space="preserve">Low</x:t>
        </x:is>
      </x:c>
      <x:c r="T171" s="5" t="inlineStr">
        <x:is>
          <x:t xml:space="preserve">ChatGPT primary</x:t>
        </x:is>
      </x:c>
      <x:c r="U171" s="5" t="inlineStr">
        <x:is>
          <x:t xml:space="preserve">Easy</x:t>
        </x:is>
      </x:c>
      <x:c r="V171" s="10" t="n">
        <x:v>1</x:v>
      </x:c>
      <x:c r="W171" s="5" t="inlineStr">
        <x:is>
          <x:t xml:space="preserve">Interactive tutoring session + quality review</x:t>
        </x:is>
      </x:c>
      <x:c r="X171" s="5" t="inlineStr">
        <x:is>
          <x:t xml:space="preserve">lesson / plan / quiz / explanation</x:t>
        </x:is>
      </x:c>
      <x:c r="Y171" s="5" t="inlineStr">
        <x:is>
          <x:t xml:space="preserve">Teaching is accurate, adaptive, and improves understanding rather than over-answering.</x:t>
        </x:is>
      </x:c>
      <x:c r="Z171" s="5" t="inlineStr">
        <x:is>
          <x:t xml:space="preserve">Wrong explanations, over-helping, no adaptation, or generic curriculum.</x:t>
        </x:is>
      </x:c>
      <x:c r="AA171" s="5" t="inlineStr">
        <x:is>
          <x:t xml:space="preserve">tutor mode / memory / scaffolding logic</x:t>
        </x:is>
      </x:c>
      <x:c r="AB171" s="5" t="inlineStr">
        <x:is>
          <x:t xml:space="preserve"/>
        </x:is>
      </x:c>
      <x:c r="AC171" s="5" t="inlineStr">
        <x:is>
          <x:t xml:space="preserve">OpenAI practical guidance includes tutoring; HEPI 2025 says 88% of students use GenAI for assessments, often to explain concepts and summarize articles.</x:t>
        </x:is>
      </x:c>
      <x:c r="AD171" s="5" t="inlineStr">
        <x:is>
          <x:t xml:space="preserve">OpenAI How People Use ChatGPT paper; HEPI Student Generative AI Survey 2025; Brookings 2026 tutoring article</x:t>
        </x:is>
      </x:c>
      <x:c r="AE171" s="11">
        <x:f>IF(O171="High",20,IF(O171="Medium",10,IF(O171="Low",5,0)))+IF(P171="High",20,IF(P171="Medium",10,IF(P171="Low",5,0)))+IF(Q171="High",20,IF(Q171="Medium",10,IF(Q171="Low",5,0)))+IF(R171="High",20,IF(R171="Medium",10,IF(R171="Low",5,0)))+IF(S171="High",20,IF(S171="Medium",10,IF(S171="Low",5,0)))</x:f>
        <x:v>40</x:v>
      </x:c>
      <x:c r="AF171" s="12">
        <x:f>ROUND(H171*0.30+J171*0.25+K171*0.20+(100-AE171)*0.10+(100-(V171*20))*0.15,0)</x:f>
        <x:v>64</x:v>
      </x:c>
      <x:c r="AG171" s="13" t="str">
        <x:f>IF(AF171&gt;=80,"Batch 1",IF(AF171&gt;=70,"Batch 2",IF(AF171&gt;=60,"Batch 3","Backlog")))</x:f>
        <x:v>Batch 3</x:v>
      </x:c>
      <x:c r="AH171" t="inlineStr">
        <x:is>
          <x:t xml:space="preserve"/>
        </x:is>
      </x:c>
    </x:row>
    <x:row r="172">
      <x:c r="A172" s="5" t="inlineStr">
        <x:is>
          <x:t xml:space="preserve">GPO-SCH-17</x:t>
        </x:is>
      </x:c>
      <x:c r="B172" s="5" t="n">
        <x:v>168</x:v>
      </x:c>
      <x:c r="C172" s="5" t="inlineStr">
        <x:is>
          <x:t xml:space="preserve">Scheduling &amp; Life Operations</x:t>
        </x:is>
      </x:c>
      <x:c r="D172" s="5" t="inlineStr">
        <x:is>
          <x:t xml:space="preserve">Operate</x:t>
        </x:is>
      </x:c>
      <x:c r="E172" s="5" t="inlineStr">
        <x:is>
          <x:t xml:space="preserve">Expansion 150</x:t>
        </x:is>
      </x:c>
      <x:c r="F172" s="5" t="n">
        <x:v>17</x:v>
      </x:c>
      <x:c r="G172" s="5" t="inlineStr">
        <x:is>
          <x:t xml:space="preserve">Plan the fastest path to finish this project while protecting sleep and focus.</x:t>
        </x:is>
      </x:c>
      <x:c r="H172" s="6" t="n">
        <x:v>52</x:v>
      </x:c>
      <x:c r="I172" s="6" t="n">
        <x:v>52</x:v>
      </x:c>
      <x:c r="J172" s="7" t="n">
        <x:v>73</x:v>
      </x:c>
      <x:c r="K172" s="7" t="n">
        <x:v>61</x:v>
      </x:c>
      <x:c r="L172" s="8" t="inlineStr">
        <x:is>
          <x:t xml:space="preserve">UNTESTED</x:t>
        </x:is>
      </x:c>
      <x:c r="M172" s="9" t="inlineStr">
        <x:is>
          <x:t xml:space="preserve">UNTESTED</x:t>
        </x:is>
      </x:c>
      <x:c r="N172" s="5" t="inlineStr">
        <x:is>
          <x:t xml:space="preserve">task planning; prioritization; calendar reasoning; personal constraints handling</x:t>
        </x:is>
      </x:c>
      <x:c r="O172" s="5" t="inlineStr">
        <x:is>
          <x:t xml:space="preserve">Low</x:t>
        </x:is>
      </x:c>
      <x:c r="P172" s="5" t="inlineStr">
        <x:is>
          <x:t xml:space="preserve">High</x:t>
        </x:is>
      </x:c>
      <x:c r="Q172" s="5" t="inlineStr">
        <x:is>
          <x:t xml:space="preserve">Medium</x:t>
        </x:is>
      </x:c>
      <x:c r="R172" s="5" t="inlineStr">
        <x:is>
          <x:t xml:space="preserve">Low</x:t>
        </x:is>
      </x:c>
      <x:c r="S172" s="5" t="inlineStr">
        <x:is>
          <x:t xml:space="preserve">Low</x:t>
        </x:is>
      </x:c>
      <x:c r="T172" s="5" t="inlineStr">
        <x:is>
          <x:t xml:space="preserve">ChatGPT primary; calendar integrations later</x:t>
        </x:is>
      </x:c>
      <x:c r="U172" s="5" t="inlineStr">
        <x:is>
          <x:t xml:space="preserve">Easy</x:t>
        </x:is>
      </x:c>
      <x:c r="V172" s="10" t="n">
        <x:v>1</x:v>
      </x:c>
      <x:c r="W172" s="5" t="inlineStr">
        <x:is>
          <x:t xml:space="preserve">Scenario-based planning + operator utility review</x:t>
        </x:is>
      </x:c>
      <x:c r="X172" s="5" t="inlineStr">
        <x:is>
          <x:t xml:space="preserve">schedule / checklist / operating plan</x:t>
        </x:is>
      </x:c>
      <x:c r="Y172" s="5" t="inlineStr">
        <x:is>
          <x:t xml:space="preserve">Plan is realistic, prioritized, and executable under stated constraints.</x:t>
        </x:is>
      </x:c>
      <x:c r="Z172" s="5" t="inlineStr">
        <x:is>
          <x:t xml:space="preserve">Overpacked schedule, ignored constraints, or vague next steps.</x:t>
        </x:is>
      </x:c>
      <x:c r="AA172" s="5" t="inlineStr">
        <x:is>
          <x:t xml:space="preserve">planner engine / memory / calendar-tool integration</x:t>
        </x:is>
      </x:c>
      <x:c r="AB172" s="5" t="inlineStr">
        <x:is>
          <x:t xml:space="preserve"/>
        </x:is>
      </x:c>
      <x:c r="AC172" s="5" t="inlineStr">
        <x:is>
          <x:t xml:space="preserve">Menlo consumer AI: 18% use AI to manage to-do lists and 15% to organize notes; Zao-Sanders ranked 'Organise my life' #2.</x:t>
        </x:is>
      </x:c>
      <x:c r="AD172" s="5" t="inlineStr">
        <x:is>
          <x:t xml:space="preserve">Menlo State of Consumer AI 2025; Zao-Sanders Top-100 GenAI Use Cases 2025</x:t>
        </x:is>
      </x:c>
      <x:c r="AE172" s="11">
        <x:f>IF(O172="High",20,IF(O172="Medium",10,IF(O172="Low",5,0)))+IF(P172="High",20,IF(P172="Medium",10,IF(P172="Low",5,0)))+IF(Q172="High",20,IF(Q172="Medium",10,IF(Q172="Low",5,0)))+IF(R172="High",20,IF(R172="Medium",10,IF(R172="Low",5,0)))+IF(S172="High",20,IF(S172="Medium",10,IF(S172="Low",5,0)))</x:f>
        <x:v>45</x:v>
      </x:c>
      <x:c r="AF172" s="12">
        <x:f>ROUND(H172*0.30+J172*0.25+K172*0.20+(100-AE172)*0.10+(100-(V172*20))*0.15,0)</x:f>
        <x:v>64</x:v>
      </x:c>
      <x:c r="AG172" s="13" t="str">
        <x:f>IF(AF172&gt;=80,"Batch 1",IF(AF172&gt;=70,"Batch 2",IF(AF172&gt;=60,"Batch 3","Backlog")))</x:f>
        <x:v>Batch 3</x:v>
      </x:c>
      <x:c r="AH172" t="inlineStr">
        <x:is>
          <x:t xml:space="preserve"/>
        </x:is>
      </x:c>
    </x:row>
    <x:row r="173">
      <x:c r="A173" s="5" t="inlineStr">
        <x:is>
          <x:t xml:space="preserve">GPO-SCR-06</x:t>
        </x:is>
      </x:c>
      <x:c r="B173" s="5" t="n">
        <x:v>169</x:v>
      </x:c>
      <x:c r="C173" s="5" t="inlineStr">
        <x:is>
          <x:t xml:space="preserve">Screenwriting &amp; Story Development</x:t>
        </x:is>
      </x:c>
      <x:c r="D173" s="5" t="inlineStr">
        <x:is>
          <x:t xml:space="preserve">Create</x:t>
        </x:is>
      </x:c>
      <x:c r="E173" s="5" t="inlineStr">
        <x:is>
          <x:t xml:space="preserve">Core 150</x:t>
        </x:is>
      </x:c>
      <x:c r="F173" s="5" t="n">
        <x:v>6</x:v>
      </x:c>
      <x:c r="G173" s="5" t="inlineStr">
        <x:is>
          <x:t xml:space="preserve">Rewrite this scene/dialogue so it feels sharper, more visual, and less on-the-nose.</x:t>
        </x:is>
      </x:c>
      <x:c r="H173" s="6" t="n">
        <x:v>52</x:v>
      </x:c>
      <x:c r="I173" s="6" t="n">
        <x:v>52</x:v>
      </x:c>
      <x:c r="J173" s="7" t="n">
        <x:v>73</x:v>
      </x:c>
      <x:c r="K173" s="7" t="n">
        <x:v>61</x:v>
      </x:c>
      <x:c r="L173" s="8" t="inlineStr">
        <x:is>
          <x:t xml:space="preserve">UNTESTED</x:t>
        </x:is>
      </x:c>
      <x:c r="M173" s="9" t="inlineStr">
        <x:is>
          <x:t xml:space="preserve">UNTESTED</x:t>
        </x:is>
      </x:c>
      <x:c r="N173" s="5" t="inlineStr">
        <x:is>
          <x:t xml:space="preserve">creative ideation; story structure; tone control; character design</x:t>
        </x:is>
      </x:c>
      <x:c r="O173" s="5" t="inlineStr">
        <x:is>
          <x:t xml:space="preserve">Low</x:t>
        </x:is>
      </x:c>
      <x:c r="P173" s="5" t="inlineStr">
        <x:is>
          <x:t xml:space="preserve">Medium</x:t>
        </x:is>
      </x:c>
      <x:c r="Q173" s="5" t="inlineStr">
        <x:is>
          <x:t xml:space="preserve">Low</x:t>
        </x:is>
      </x:c>
      <x:c r="R173" s="5" t="inlineStr">
        <x:is>
          <x:t xml:space="preserve">Low</x:t>
        </x:is>
      </x:c>
      <x:c r="S173" s="5" t="inlineStr">
        <x:is>
          <x:t xml:space="preserve">Low</x:t>
        </x:is>
      </x:c>
      <x:c r="T173" s="5" t="inlineStr">
        <x:is>
          <x:t xml:space="preserve">ChatGPT or Claude creative mode</x:t>
        </x:is>
      </x:c>
      <x:c r="U173" s="5" t="inlineStr">
        <x:is>
          <x:t xml:space="preserve">Easy</x:t>
        </x:is>
      </x:c>
      <x:c r="V173" s="10" t="n">
        <x:v>1</x:v>
      </x:c>
      <x:c r="W173" s="5" t="inlineStr">
        <x:is>
          <x:t xml:space="preserve">Creative prompt run + human taste review</x:t>
        </x:is>
      </x:c>
      <x:c r="X173" s="5" t="inlineStr">
        <x:is>
          <x:t xml:space="preserve">logline / outline / scene rewrite / treatment</x:t>
        </x:is>
      </x:c>
      <x:c r="Y173" s="5" t="inlineStr">
        <x:is>
          <x:t xml:space="preserve">Story work feels coherent, original, and emotionally alive.</x:t>
        </x:is>
      </x:c>
      <x:c r="Z173" s="5" t="inlineStr">
        <x:is>
          <x:t xml:space="preserve">Cliche ideas, flat dialogue, weak stakes, or no tonal discipline.</x:t>
        </x:is>
      </x:c>
      <x:c r="AA173" s="5" t="inlineStr">
        <x:is>
          <x:t xml:space="preserve">creative mode / style packs / development workflow</x:t>
        </x:is>
      </x:c>
      <x:c r="AB173" s="5" t="inlineStr">
        <x:is>
          <x:t xml:space="preserve"/>
        </x:is>
      </x:c>
      <x:c r="AC173" s="5" t="inlineStr">
        <x:is>
          <x:t xml:space="preserve">OpenAI practical guidance includes creative ideation; creator surveys show broad use of generative AI in creative workflows.</x:t>
        </x:is>
      </x:c>
      <x:c r="AD173" s="5" t="inlineStr">
        <x:is>
          <x:t xml:space="preserve">OpenAI How People Use ChatGPT paper; Adobe creators survey 2025; Wondercraft/Digiday creator workflow survey 2025</x:t>
        </x:is>
      </x:c>
      <x:c r="AE173" s="11">
        <x:f>IF(O173="High",20,IF(O173="Medium",10,IF(O173="Low",5,0)))+IF(P173="High",20,IF(P173="Medium",10,IF(P173="Low",5,0)))+IF(Q173="High",20,IF(Q173="Medium",10,IF(Q173="Low",5,0)))+IF(R173="High",20,IF(R173="Medium",10,IF(R173="Low",5,0)))+IF(S173="High",20,IF(S173="Medium",10,IF(S173="Low",5,0)))</x:f>
        <x:v>30</x:v>
      </x:c>
      <x:c r="AF173" s="12">
        <x:f>ROUND(H173*0.30+J173*0.25+K173*0.20+(100-AE173)*0.10+(100-(V173*20))*0.15,0)</x:f>
        <x:v>65</x:v>
      </x:c>
      <x:c r="AG173" s="13" t="str">
        <x:f>IF(AF173&gt;=80,"Batch 1",IF(AF173&gt;=70,"Batch 2",IF(AF173&gt;=60,"Batch 3","Backlog")))</x:f>
        <x:v>Batch 3</x:v>
      </x:c>
      <x:c r="AH173" t="inlineStr">
        <x:is>
          <x:t xml:space="preserve"/>
        </x:is>
      </x:c>
    </x:row>
    <x:row r="174">
      <x:c r="A174" s="5" t="inlineStr">
        <x:is>
          <x:t xml:space="preserve">GPO-TRA-14</x:t>
        </x:is>
      </x:c>
      <x:c r="B174" s="5" t="n">
        <x:v>170</x:v>
      </x:c>
      <x:c r="C174" s="5" t="inlineStr">
        <x:is>
          <x:t xml:space="preserve">Travel &amp; Relocation Planner</x:t>
        </x:is>
      </x:c>
      <x:c r="D174" s="5" t="inlineStr">
        <x:is>
          <x:t xml:space="preserve">Move</x:t>
        </x:is>
      </x:c>
      <x:c r="E174" s="5" t="inlineStr">
        <x:is>
          <x:t xml:space="preserve">Expansion 150</x:t>
        </x:is>
      </x:c>
      <x:c r="F174" s="5" t="n">
        <x:v>14</x:v>
      </x:c>
      <x:c r="G174" s="5" t="inlineStr">
        <x:is>
          <x:t xml:space="preserve">Find the best season/time to visit this destination for my goals.</x:t>
        </x:is>
      </x:c>
      <x:c r="H174" s="6" t="n">
        <x:v>52</x:v>
      </x:c>
      <x:c r="I174" s="6" t="n">
        <x:v>52</x:v>
      </x:c>
      <x:c r="J174" s="7" t="n">
        <x:v>73</x:v>
      </x:c>
      <x:c r="K174" s="7" t="n">
        <x:v>61</x:v>
      </x:c>
      <x:c r="L174" s="8" t="inlineStr">
        <x:is>
          <x:t xml:space="preserve">UNTESTED</x:t>
        </x:is>
      </x:c>
      <x:c r="M174" s="9" t="inlineStr">
        <x:is>
          <x:t xml:space="preserve">UNTESTED</x:t>
        </x:is>
      </x:c>
      <x:c r="N174" s="5" t="inlineStr">
        <x:is>
          <x:t xml:space="preserve">travel research; itinerary planning; logistics reasoning; contingency planning</x:t>
        </x:is>
      </x:c>
      <x:c r="O174" s="5" t="inlineStr">
        <x:is>
          <x:t xml:space="preserve">High</x:t>
        </x:is>
      </x:c>
      <x:c r="P174" s="5" t="inlineStr">
        <x:is>
          <x:t xml:space="preserve">Medium</x:t>
        </x:is>
      </x:c>
      <x:c r="Q174" s="5" t="inlineStr">
        <x:is>
          <x:t xml:space="preserve">Medium</x:t>
        </x:is>
      </x:c>
      <x:c r="R174" s="5" t="inlineStr">
        <x:is>
          <x:t xml:space="preserve">Low</x:t>
        </x:is>
      </x:c>
      <x:c r="S174" s="5" t="inlineStr">
        <x:is>
          <x:t xml:space="preserve">Low</x:t>
        </x:is>
      </x:c>
      <x:c r="T174" s="5" t="inlineStr">
        <x:is>
          <x:t xml:space="preserve">ChatGPT with web; maps/calendar later</x:t>
        </x:is>
      </x:c>
      <x:c r="U174" s="5" t="inlineStr">
        <x:is>
          <x:t xml:space="preserve">Easy</x:t>
        </x:is>
      </x:c>
      <x:c r="V174" s="10" t="n">
        <x:v>1</x:v>
      </x:c>
      <x:c r="W174" s="5" t="inlineStr">
        <x:is>
          <x:t xml:space="preserve">Live trip planning + feasibility review</x:t>
        </x:is>
      </x:c>
      <x:c r="X174" s="5" t="inlineStr">
        <x:is>
          <x:t xml:space="preserve">itinerary / relocation plan / checklist</x:t>
        </x:is>
      </x:c>
      <x:c r="Y174" s="5" t="inlineStr">
        <x:is>
          <x:t xml:space="preserve">Plan is current, geographically sensible, and tuned to budget/constraints.</x:t>
        </x:is>
      </x:c>
      <x:c r="Z174" s="5" t="inlineStr">
        <x:is>
          <x:t xml:space="preserve">Bad logistics, stale info, wrong timing, or generic travel advice.</x:t>
        </x:is>
      </x:c>
      <x:c r="AA174" s="5" t="inlineStr">
        <x:is>
          <x:t xml:space="preserve">travel templates / web + mapping integration / logistics engine</x:t>
        </x:is>
      </x:c>
      <x:c r="AB174" s="5" t="inlineStr">
        <x:is>
          <x:t xml:space="preserve"/>
        </x:is>
      </x:c>
      <x:c r="AC174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74" s="5" t="inlineStr">
        <x:is>
          <x:t xml:space="preserve">Deloitte Connected Consumer 2025; Adobe travel planning 2025</x:t>
        </x:is>
      </x:c>
      <x:c r="AE174" s="11">
        <x:f>IF(O174="High",20,IF(O174="Medium",10,IF(O174="Low",5,0)))+IF(P174="High",20,IF(P174="Medium",10,IF(P174="Low",5,0)))+IF(Q174="High",20,IF(Q174="Medium",10,IF(Q174="Low",5,0)))+IF(R174="High",20,IF(R174="Medium",10,IF(R174="Low",5,0)))+IF(S174="High",20,IF(S174="Medium",10,IF(S174="Low",5,0)))</x:f>
        <x:v>50</x:v>
      </x:c>
      <x:c r="AF174" s="12">
        <x:f>ROUND(H174*0.30+J174*0.25+K174*0.20+(100-AE174)*0.10+(100-(V174*20))*0.15,0)</x:f>
        <x:v>63</x:v>
      </x:c>
      <x:c r="AG174" s="13" t="str">
        <x:f>IF(AF174&gt;=80,"Batch 1",IF(AF174&gt;=70,"Batch 2",IF(AF174&gt;=60,"Batch 3","Backlog")))</x:f>
        <x:v>Batch 3</x:v>
      </x:c>
      <x:c r="AH174" t="inlineStr">
        <x:is>
          <x:t xml:space="preserve"/>
        </x:is>
      </x:c>
    </x:row>
    <x:row r="175">
      <x:c r="A175" s="5" t="inlineStr">
        <x:is>
          <x:t xml:space="preserve">GPO-HEA-08</x:t>
        </x:is>
      </x:c>
      <x:c r="B175" s="5" t="n">
        <x:v>171</x:v>
      </x:c>
      <x:c r="C175" s="5" t="inlineStr">
        <x:is>
          <x:t xml:space="preserve">Health &amp; Wellness Coach</x:t>
        </x:is>
      </x:c>
      <x:c r="D175" s="5" t="inlineStr">
        <x:is>
          <x:t xml:space="preserve">Care</x:t>
        </x:is>
      </x:c>
      <x:c r="E175" s="5" t="inlineStr">
        <x:is>
          <x:t xml:space="preserve">Core 150</x:t>
        </x:is>
      </x:c>
      <x:c r="F175" s="5" t="n">
        <x:v>8</x:v>
      </x:c>
      <x:c r="G175" s="5" t="inlineStr">
        <x:is>
          <x:t xml:space="preserve">Help me structure meals/macros around my fitness goal.</x:t>
        </x:is>
      </x:c>
      <x:c r="H175" s="6" t="n">
        <x:v>64</x:v>
      </x:c>
      <x:c r="I175" s="6" t="n">
        <x:v>64</x:v>
      </x:c>
      <x:c r="J175" s="7" t="n">
        <x:v>56</x:v>
      </x:c>
      <x:c r="K175" s="7" t="n">
        <x:v>60</x:v>
      </x:c>
      <x:c r="L175" s="8" t="inlineStr">
        <x:is>
          <x:t xml:space="preserve">UNTESTED</x:t>
        </x:is>
      </x:c>
      <x:c r="M175" s="9" t="inlineStr">
        <x:is>
          <x:t xml:space="preserve">UNTESTED</x:t>
        </x:is>
      </x:c>
      <x:c r="N175" s="5" t="inlineStr">
        <x:is>
          <x:t xml:space="preserve">health explanation; risk framing; behavior coaching; careful disclaimer handling</x:t>
        </x:is>
      </x:c>
      <x:c r="O175" s="5" t="inlineStr">
        <x:is>
          <x:t xml:space="preserve">Medium</x:t>
        </x:is>
      </x:c>
      <x:c r="P175" s="5" t="inlineStr">
        <x:is>
          <x:t xml:space="preserve">High</x:t>
        </x:is>
      </x:c>
      <x:c r="Q175" s="5" t="inlineStr">
        <x:is>
          <x:t xml:space="preserve">Low</x:t>
        </x:is>
      </x:c>
      <x:c r="R175" s="5" t="inlineStr">
        <x:is>
          <x:t xml:space="preserve">Low</x:t>
        </x:is>
      </x:c>
      <x:c r="S175" s="5" t="inlineStr">
        <x:is>
          <x:t xml:space="preserve">Medium</x:t>
        </x:is>
      </x:c>
      <x:c r="T175" s="5" t="inlineStr">
        <x:is>
          <x:t xml:space="preserve">ChatGPT primary with careful guardrails</x:t>
        </x:is>
      </x:c>
      <x:c r="U175" s="5" t="inlineStr">
        <x:is>
          <x:t xml:space="preserve">Medium</x:t>
        </x:is>
      </x:c>
      <x:c r="V175" s="10" t="n">
        <x:v>2</x:v>
      </x:c>
      <x:c r="W175" s="5" t="inlineStr">
        <x:is>
          <x:t xml:space="preserve">Scenario prompts + safety review + usefulness review</x:t>
        </x:is>
      </x:c>
      <x:c r="X175" s="5" t="inlineStr">
        <x:is>
          <x:t xml:space="preserve">plan / explanation / checklist / prep brief</x:t>
        </x:is>
      </x:c>
      <x:c r="Y175" s="5" t="inlineStr">
        <x:is>
          <x:t xml:space="preserve">Useful, cautious, practical guidance that stays within safe boundaries.</x:t>
        </x:is>
      </x:c>
      <x:c r="Z175" s="5" t="inlineStr">
        <x:is>
          <x:t xml:space="preserve">Overconfident medical claims, weak escalation guidance, or unsafe advice.</x:t>
        </x:is>
      </x:c>
      <x:c r="AA175" s="5" t="inlineStr">
        <x:is>
          <x:t xml:space="preserve">safety layer / health mode / evidence grounding</x:t>
        </x:is>
      </x:c>
      <x:c r="AB175" s="5" t="inlineStr">
        <x:is>
          <x:t xml:space="preserve"/>
        </x:is>
      </x:c>
      <x:c r="AC175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75" s="5" t="inlineStr">
        <x:is>
          <x:t xml:space="preserve">OpenAI Introducing GPT-5; APPC 2025 health survey; Deloitte Connected Consumer 2025</x:t>
        </x:is>
      </x:c>
      <x:c r="AE175" s="11">
        <x:f>IF(O175="High",20,IF(O175="Medium",10,IF(O175="Low",5,0)))+IF(P175="High",20,IF(P175="Medium",10,IF(P175="Low",5,0)))+IF(Q175="High",20,IF(Q175="Medium",10,IF(Q175="Low",5,0)))+IF(R175="High",20,IF(R175="Medium",10,IF(R175="Low",5,0)))+IF(S175="High",20,IF(S175="Medium",10,IF(S175="Low",5,0)))</x:f>
        <x:v>50</x:v>
      </x:c>
      <x:c r="AF175" s="12">
        <x:f>ROUND(H175*0.30+J175*0.25+K175*0.20+(100-AE175)*0.10+(100-(V175*20))*0.15,0)</x:f>
        <x:v>59</x:v>
      </x:c>
      <x:c r="AG175" s="13" t="str">
        <x:f>IF(AF175&gt;=80,"Batch 1",IF(AF175&gt;=70,"Batch 2",IF(AF175&gt;=60,"Batch 3","Backlog")))</x:f>
        <x:v>Backlog</x:v>
      </x:c>
      <x:c r="AH175" t="inlineStr">
        <x:is>
          <x:t xml:space="preserve"/>
        </x:is>
      </x:c>
    </x:row>
    <x:row r="176">
      <x:c r="A176" s="5" t="inlineStr">
        <x:is>
          <x:t xml:space="preserve">GPO-PER-11</x:t>
        </x:is>
      </x:c>
      <x:c r="B176" s="5" t="n">
        <x:v>172</x:v>
      </x:c>
      <x:c r="C176" s="5" t="inlineStr">
        <x:is>
          <x:t xml:space="preserve">Personal Finance &amp; Investing</x:t>
        </x:is>
      </x:c>
      <x:c r="D176" s="5" t="inlineStr">
        <x:is>
          <x:t xml:space="preserve">Money</x:t>
        </x:is>
      </x:c>
      <x:c r="E176" s="5" t="inlineStr">
        <x:is>
          <x:t xml:space="preserve">Expansion 150</x:t>
        </x:is>
      </x:c>
      <x:c r="F176" s="5" t="n">
        <x:v>11</x:v>
      </x:c>
      <x:c r="G176" s="5" t="inlineStr">
        <x:is>
          <x:t xml:space="preserve">Stress-test my portfolio against job loss, recession, or relocation risk.</x:t>
        </x:is>
      </x:c>
      <x:c r="H176" s="6" t="n">
        <x:v>54</x:v>
      </x:c>
      <x:c r="I176" s="6" t="n">
        <x:v>54</x:v>
      </x:c>
      <x:c r="J176" s="7" t="n">
        <x:v>70</x:v>
      </x:c>
      <x:c r="K176" s="7" t="n">
        <x:v>61</x:v>
      </x:c>
      <x:c r="L176" s="8" t="inlineStr">
        <x:is>
          <x:t xml:space="preserve">UNTESTED</x:t>
        </x:is>
      </x:c>
      <x:c r="M176" s="9" t="inlineStr">
        <x:is>
          <x:t xml:space="preserve">UNTESTED</x:t>
        </x:is>
      </x:c>
      <x:c r="N176" s="5" t="inlineStr">
        <x:is>
          <x:t xml:space="preserve">scenario modeling; budgeting; portfolio reasoning; decision framing</x:t>
        </x:is>
      </x:c>
      <x:c r="O176" s="5" t="inlineStr">
        <x:is>
          <x:t xml:space="preserve">Medium</x:t>
        </x:is>
      </x:c>
      <x:c r="P176" s="5" t="inlineStr">
        <x:is>
          <x:t xml:space="preserve">High</x:t>
        </x:is>
      </x:c>
      <x:c r="Q176" s="5" t="inlineStr">
        <x:is>
          <x:t xml:space="preserve">Medium</x:t>
        </x:is>
      </x:c>
      <x:c r="R176" s="5" t="inlineStr">
        <x:is>
          <x:t xml:space="preserve">Low</x:t>
        </x:is>
      </x:c>
      <x:c r="S176" s="5" t="inlineStr">
        <x:is>
          <x:t xml:space="preserve">Medium</x:t>
        </x:is>
      </x:c>
      <x:c r="T176" s="5" t="inlineStr">
        <x:is>
          <x:t xml:space="preserve">ChatGPT or Claude with spreadsheet support</x:t>
        </x:is>
      </x:c>
      <x:c r="U176" s="5" t="inlineStr">
        <x:is>
          <x:t xml:space="preserve">Medium</x:t>
        </x:is>
      </x:c>
      <x:c r="V176" s="10" t="n">
        <x:v>2</x:v>
      </x:c>
      <x:c r="W176" s="5" t="inlineStr">
        <x:is>
          <x:t xml:space="preserve">Scenario modeling + coherence review</x:t>
        </x:is>
      </x:c>
      <x:c r="X176" s="5" t="inlineStr">
        <x:is>
          <x:t xml:space="preserve">budget / model / plan / recommendation</x:t>
        </x:is>
      </x:c>
      <x:c r="Y176" s="5" t="inlineStr">
        <x:is>
          <x:t xml:space="preserve">Advice is numerically coherent, practical, and transparent about assumptions.</x:t>
        </x:is>
      </x:c>
      <x:c r="Z176" s="5" t="inlineStr">
        <x:is>
          <x:t xml:space="preserve">Bad math, missing assumptions, or overconfident investment guidance.</x:t>
        </x:is>
      </x:c>
      <x:c r="AA176" s="5" t="inlineStr">
        <x:is>
          <x:t xml:space="preserve">financial calculator / assumption schema / spreadsheet outputs</x:t>
        </x:is>
      </x:c>
      <x:c r="AB176" s="5" t="inlineStr">
        <x:is>
          <x:t xml:space="preserve"/>
        </x:is>
      </x:c>
      <x:c r="AC176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76" s="5" t="inlineStr">
        <x:is>
          <x:t xml:space="preserve">FNBO Financial Wellbeing Study 2025; NerdWallet/Harris Poll 2026; PlanAdviser 2026</x:t>
        </x:is>
      </x:c>
      <x:c r="AE176" s="11">
        <x:f>IF(O176="High",20,IF(O176="Medium",10,IF(O176="Low",5,0)))+IF(P176="High",20,IF(P176="Medium",10,IF(P176="Low",5,0)))+IF(Q176="High",20,IF(Q176="Medium",10,IF(Q176="Low",5,0)))+IF(R176="High",20,IF(R176="Medium",10,IF(R176="Low",5,0)))+IF(S176="High",20,IF(S176="Medium",10,IF(S176="Low",5,0)))</x:f>
        <x:v>55</x:v>
      </x:c>
      <x:c r="AF176" s="12">
        <x:f>ROUND(H176*0.30+J176*0.25+K176*0.20+(100-AE176)*0.10+(100-(V176*20))*0.15,0)</x:f>
        <x:v>59</x:v>
      </x:c>
      <x:c r="AG176" s="13" t="str">
        <x:f>IF(AF176&gt;=80,"Batch 1",IF(AF176&gt;=70,"Batch 2",IF(AF176&gt;=60,"Batch 3","Backlog")))</x:f>
        <x:v>Backlog</x:v>
      </x:c>
      <x:c r="AH176" t="inlineStr">
        <x:is>
          <x:t xml:space="preserve"/>
        </x:is>
      </x:c>
    </x:row>
    <x:row r="177">
      <x:c r="A177" s="5" t="inlineStr">
        <x:is>
          <x:t xml:space="preserve">GPO-RES-19</x:t>
        </x:is>
      </x:c>
      <x:c r="B177" s="5" t="n">
        <x:v>173</x:v>
      </x:c>
      <x:c r="C177" s="5" t="inlineStr">
        <x:is>
          <x:t xml:space="preserve">Research &amp; Analysis</x:t>
        </x:is>
      </x:c>
      <x:c r="D177" s="5" t="inlineStr">
        <x:is>
          <x:t xml:space="preserve">Think</x:t>
        </x:is>
      </x:c>
      <x:c r="E177" s="5" t="inlineStr">
        <x:is>
          <x:t xml:space="preserve">Expansion 150</x:t>
        </x:is>
      </x:c>
      <x:c r="F177" s="5" t="n">
        <x:v>19</x:v>
      </x:c>
      <x:c r="G177" s="5" t="inlineStr">
        <x:is>
          <x:t xml:space="preserve">Turn scattered evidence into a go/no-go recommendation for this initiative.</x:t>
        </x:is>
      </x:c>
      <x:c r="H177" s="6" t="n">
        <x:v>51</x:v>
      </x:c>
      <x:c r="I177" s="6" t="n">
        <x:v>51</x:v>
      </x:c>
      <x:c r="J177" s="7" t="n">
        <x:v>74</x:v>
      </x:c>
      <x:c r="K177" s="7" t="n">
        <x:v>61</x:v>
      </x:c>
      <x:c r="L177" s="8" t="inlineStr">
        <x:is>
          <x:t xml:space="preserve">UNTESTED</x:t>
        </x:is>
      </x:c>
      <x:c r="M177" s="9" t="inlineStr">
        <x:is>
          <x:t xml:space="preserve">UNTESTED</x:t>
        </x:is>
      </x:c>
      <x:c r="N177" s="5" t="inlineStr">
        <x:is>
          <x:t xml:space="preserve">web research; synthesis; citation discipline; decision framing</x:t>
        </x:is>
      </x:c>
      <x:c r="O177" s="5" t="inlineStr">
        <x:is>
          <x:t xml:space="preserve">High</x:t>
        </x:is>
      </x:c>
      <x:c r="P177" s="5" t="inlineStr">
        <x:is>
          <x:t xml:space="preserve">Medium</x:t>
        </x:is>
      </x:c>
      <x:c r="Q177" s="5" t="inlineStr">
        <x:is>
          <x:t xml:space="preserve">Medium</x:t>
        </x:is>
      </x:c>
      <x:c r="R177" s="5" t="inlineStr">
        <x:is>
          <x:t xml:space="preserve">Medium</x:t>
        </x:is>
      </x:c>
      <x:c r="S177" s="5" t="inlineStr">
        <x:is>
          <x:t xml:space="preserve">Low</x:t>
        </x:is>
      </x:c>
      <x:c r="T177" s="5" t="inlineStr">
        <x:is>
          <x:t xml:space="preserve">ChatGPT with web; Claude for synthesis</x:t>
        </x:is>
      </x:c>
      <x:c r="U177" s="5" t="inlineStr">
        <x:is>
          <x:t xml:space="preserve">Medium</x:t>
        </x:is>
      </x:c>
      <x:c r="V177" s="10" t="n">
        <x:v>2</x:v>
      </x:c>
      <x:c r="W177" s="5" t="inlineStr">
        <x:is>
          <x:t xml:space="preserve">Live research + source validation + recommendation review</x:t>
        </x:is>
      </x:c>
      <x:c r="X177" s="5" t="inlineStr">
        <x:is>
          <x:t xml:space="preserve">brief / comparison / decision memo / risk analysis</x:t>
        </x:is>
      </x:c>
      <x:c r="Y177" s="5" t="inlineStr">
        <x:is>
          <x:t xml:space="preserve">Accurate synthesis with evidence, tradeoffs, and a concrete recommendation.</x:t>
        </x:is>
      </x:c>
      <x:c r="Z177" s="5" t="inlineStr">
        <x:is>
          <x:t xml:space="preserve">Stale facts, no citations, weak reasoning, or surface-level synthesis.</x:t>
        </x:is>
      </x:c>
      <x:c r="AA177" s="5" t="inlineStr">
        <x:is>
          <x:t xml:space="preserve">web integration / citation enforcement / analysis rubric</x:t>
        </x:is>
      </x:c>
      <x:c r="AB177" s="5" t="inlineStr">
        <x:is>
          <x:t xml:space="preserve"/>
        </x:is>
      </x:c>
      <x:c r="AC177" s="5" t="inlineStr">
        <x:is>
          <x:t xml:space="preserve">OpenAI usage paper: Seeking Information is in top 3 categories; work/advice/search are common across Deloitte and OpenAI.</x:t>
        </x:is>
      </x:c>
      <x:c r="AD177" s="5" t="inlineStr">
        <x:is>
          <x:t xml:space="preserve">OpenAI How People Use ChatGPT paper; Deloitte Connected Consumer 2025</x:t>
        </x:is>
      </x:c>
      <x:c r="AE177" s="11">
        <x:f>IF(O177="High",20,IF(O177="Medium",10,IF(O177="Low",5,0)))+IF(P177="High",20,IF(P177="Medium",10,IF(P177="Low",5,0)))+IF(Q177="High",20,IF(Q177="Medium",10,IF(Q177="Low",5,0)))+IF(R177="High",20,IF(R177="Medium",10,IF(R177="Low",5,0)))+IF(S177="High",20,IF(S177="Medium",10,IF(S177="Low",5,0)))</x:f>
        <x:v>55</x:v>
      </x:c>
      <x:c r="AF177" s="12">
        <x:f>ROUND(H177*0.30+J177*0.25+K177*0.20+(100-AE177)*0.10+(100-(V177*20))*0.15,0)</x:f>
        <x:v>60</x:v>
      </x:c>
      <x:c r="AG177" s="13" t="str">
        <x:f>IF(AF177&gt;=80,"Batch 1",IF(AF177&gt;=70,"Batch 2",IF(AF177&gt;=60,"Batch 3","Backlog")))</x:f>
        <x:v>Batch 3</x:v>
      </x:c>
      <x:c r="AH177" t="inlineStr">
        <x:is>
          <x:t xml:space="preserve"/>
        </x:is>
      </x:c>
    </x:row>
    <x:row r="178">
      <x:c r="A178" s="5" t="inlineStr">
        <x:is>
          <x:t xml:space="preserve">GPO-CAR-12</x:t>
        </x:is>
      </x:c>
      <x:c r="B178" s="5" t="n">
        <x:v>174</x:v>
      </x:c>
      <x:c r="C178" s="5" t="inlineStr">
        <x:is>
          <x:t xml:space="preserve">Career &amp; Job Search</x:t>
        </x:is>
      </x:c>
      <x:c r="D178" s="5" t="inlineStr">
        <x:is>
          <x:t xml:space="preserve">Advance</x:t>
        </x:is>
      </x:c>
      <x:c r="E178" s="5" t="inlineStr">
        <x:is>
          <x:t xml:space="preserve">Expansion 150</x:t>
        </x:is>
      </x:c>
      <x:c r="F178" s="5" t="n">
        <x:v>12</x:v>
      </x:c>
      <x:c r="G178" s="5" t="inlineStr">
        <x:is>
          <x:t xml:space="preserve">Tell me whether I should stay, switch jobs, or change tracks entirely.</x:t>
        </x:is>
      </x:c>
      <x:c r="H178" s="6" t="n">
        <x:v>50</x:v>
      </x:c>
      <x:c r="I178" s="6" t="n">
        <x:v>50</x:v>
      </x:c>
      <x:c r="J178" s="7" t="n">
        <x:v>75</x:v>
      </x:c>
      <x:c r="K178" s="7" t="n">
        <x:v>61</x:v>
      </x:c>
      <x:c r="L178" s="8" t="inlineStr">
        <x:is>
          <x:t xml:space="preserve">UNTESTED</x:t>
        </x:is>
      </x:c>
      <x:c r="M178" s="9" t="inlineStr">
        <x:is>
          <x:t xml:space="preserve">UNTESTED</x:t>
        </x:is>
      </x:c>
      <x:c r="N178" s="5" t="inlineStr">
        <x:is>
          <x:t xml:space="preserve">resume tailoring; interview prep; role mapping; narrative building</x:t>
        </x:is>
      </x:c>
      <x:c r="O178" s="5" t="inlineStr">
        <x:is>
          <x:t xml:space="preserve">Medium</x:t>
        </x:is>
      </x:c>
      <x:c r="P178" s="5" t="inlineStr">
        <x:is>
          <x:t xml:space="preserve">High</x:t>
        </x:is>
      </x:c>
      <x:c r="Q178" s="5" t="inlineStr">
        <x:is>
          <x:t xml:space="preserve">Low</x:t>
        </x:is>
      </x:c>
      <x:c r="R178" s="5" t="inlineStr">
        <x:is>
          <x:t xml:space="preserve">Low</x:t>
        </x:is>
      </x:c>
      <x:c r="S178" s="5" t="inlineStr">
        <x:is>
          <x:t xml:space="preserve">Low</x:t>
        </x:is>
      </x:c>
      <x:c r="T178" s="5" t="inlineStr">
        <x:is>
          <x:t xml:space="preserve">ChatGPT primary</x:t>
        </x:is>
      </x:c>
      <x:c r="U178" s="5" t="inlineStr">
        <x:is>
          <x:t xml:space="preserve">Easy</x:t>
        </x:is>
      </x:c>
      <x:c r="V178" s="10" t="n">
        <x:v>1</x:v>
      </x:c>
      <x:c r="W178" s="5" t="inlineStr">
        <x:is>
          <x:t xml:space="preserve">Artifact review + mock interview + targeting review</x:t>
        </x:is>
      </x:c>
      <x:c r="X178" s="5" t="inlineStr">
        <x:is>
          <x:t xml:space="preserve">resume / prep plan / outreach / strategy memo</x:t>
        </x:is>
      </x:c>
      <x:c r="Y178" s="5" t="inlineStr">
        <x:is>
          <x:t xml:space="preserve">Career outputs are specific, credible, and materially improve positioning.</x:t>
        </x:is>
      </x:c>
      <x:c r="Z178" s="5" t="inlineStr">
        <x:is>
          <x:t xml:space="preserve">Generic resume language, fake-sounding stories, or weak role fit.</x:t>
        </x:is>
      </x:c>
      <x:c r="AA178" s="5" t="inlineStr">
        <x:is>
          <x:t xml:space="preserve">career templates / memory / ATS-aware output logic</x:t>
        </x:is>
      </x:c>
      <x:c r="AB178" s="5" t="inlineStr">
        <x:is>
          <x:t xml:space="preserve"/>
        </x:is>
      </x:c>
      <x:c r="AC178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78" s="5" t="inlineStr">
        <x:is>
          <x:t xml:space="preserve">Insight Global AI in Hiring Report 2025; NACE student survey 2025/2026</x:t>
        </x:is>
      </x:c>
      <x:c r="AE178" s="11">
        <x:f>IF(O178="High",20,IF(O178="Medium",10,IF(O178="Low",5,0)))+IF(P178="High",20,IF(P178="Medium",10,IF(P178="Low",5,0)))+IF(Q178="High",20,IF(Q178="Medium",10,IF(Q178="Low",5,0)))+IF(R178="High",20,IF(R178="Medium",10,IF(R178="Low",5,0)))+IF(S178="High",20,IF(S178="Medium",10,IF(S178="Low",5,0)))</x:f>
        <x:v>45</x:v>
      </x:c>
      <x:c r="AF178" s="12">
        <x:f>ROUND(H178*0.30+J178*0.25+K178*0.20+(100-AE178)*0.10+(100-(V178*20))*0.15,0)</x:f>
        <x:v>63</x:v>
      </x:c>
      <x:c r="AG178" s="13" t="str">
        <x:f>IF(AF178&gt;=80,"Batch 1",IF(AF178&gt;=70,"Batch 2",IF(AF178&gt;=60,"Batch 3","Backlog")))</x:f>
        <x:v>Batch 3</x:v>
      </x:c>
      <x:c r="AH178" t="inlineStr">
        <x:is>
          <x:t xml:space="preserve"/>
        </x:is>
      </x:c>
    </x:row>
    <x:row r="179">
      <x:c r="A179" s="5" t="inlineStr">
        <x:is>
          <x:t xml:space="preserve">GPO-SCR-07</x:t>
        </x:is>
      </x:c>
      <x:c r="B179" s="5" t="n">
        <x:v>175</x:v>
      </x:c>
      <x:c r="C179" s="5" t="inlineStr">
        <x:is>
          <x:t xml:space="preserve">Screenwriting &amp; Story Development</x:t>
        </x:is>
      </x:c>
      <x:c r="D179" s="5" t="inlineStr">
        <x:is>
          <x:t xml:space="preserve">Create</x:t>
        </x:is>
      </x:c>
      <x:c r="E179" s="5" t="inlineStr">
        <x:is>
          <x:t xml:space="preserve">Core 150</x:t>
        </x:is>
      </x:c>
      <x:c r="F179" s="5" t="n">
        <x:v>7</x:v>
      </x:c>
      <x:c r="G179" s="5" t="inlineStr">
        <x:is>
          <x:t xml:space="preserve">Help me define tone, genre promises, and audience for this screenplay.</x:t>
        </x:is>
      </x:c>
      <x:c r="H179" s="6" t="n">
        <x:v>51</x:v>
      </x:c>
      <x:c r="I179" s="6" t="n">
        <x:v>51</x:v>
      </x:c>
      <x:c r="J179" s="7" t="n">
        <x:v>72</x:v>
      </x:c>
      <x:c r="K179" s="7" t="n">
        <x:v>60</x:v>
      </x:c>
      <x:c r="L179" s="8" t="inlineStr">
        <x:is>
          <x:t xml:space="preserve">UNTESTED</x:t>
        </x:is>
      </x:c>
      <x:c r="M179" s="9" t="inlineStr">
        <x:is>
          <x:t xml:space="preserve">UNTESTED</x:t>
        </x:is>
      </x:c>
      <x:c r="N179" s="5" t="inlineStr">
        <x:is>
          <x:t xml:space="preserve">creative ideation; story structure; tone control; character design</x:t>
        </x:is>
      </x:c>
      <x:c r="O179" s="5" t="inlineStr">
        <x:is>
          <x:t xml:space="preserve">Low</x:t>
        </x:is>
      </x:c>
      <x:c r="P179" s="5" t="inlineStr">
        <x:is>
          <x:t xml:space="preserve">Medium</x:t>
        </x:is>
      </x:c>
      <x:c r="Q179" s="5" t="inlineStr">
        <x:is>
          <x:t xml:space="preserve">Low</x:t>
        </x:is>
      </x:c>
      <x:c r="R179" s="5" t="inlineStr">
        <x:is>
          <x:t xml:space="preserve">Low</x:t>
        </x:is>
      </x:c>
      <x:c r="S179" s="5" t="inlineStr">
        <x:is>
          <x:t xml:space="preserve">Low</x:t>
        </x:is>
      </x:c>
      <x:c r="T179" s="5" t="inlineStr">
        <x:is>
          <x:t xml:space="preserve">ChatGPT or Claude creative mode</x:t>
        </x:is>
      </x:c>
      <x:c r="U179" s="5" t="inlineStr">
        <x:is>
          <x:t xml:space="preserve">Easy</x:t>
        </x:is>
      </x:c>
      <x:c r="V179" s="10" t="n">
        <x:v>1</x:v>
      </x:c>
      <x:c r="W179" s="5" t="inlineStr">
        <x:is>
          <x:t xml:space="preserve">Creative prompt run + human taste review</x:t>
        </x:is>
      </x:c>
      <x:c r="X179" s="5" t="inlineStr">
        <x:is>
          <x:t xml:space="preserve">logline / outline / scene rewrite / treatment</x:t>
        </x:is>
      </x:c>
      <x:c r="Y179" s="5" t="inlineStr">
        <x:is>
          <x:t xml:space="preserve">Story work feels coherent, original, and emotionally alive.</x:t>
        </x:is>
      </x:c>
      <x:c r="Z179" s="5" t="inlineStr">
        <x:is>
          <x:t xml:space="preserve">Cliche ideas, flat dialogue, weak stakes, or no tonal discipline.</x:t>
        </x:is>
      </x:c>
      <x:c r="AA179" s="5" t="inlineStr">
        <x:is>
          <x:t xml:space="preserve">creative mode / style packs / development workflow</x:t>
        </x:is>
      </x:c>
      <x:c r="AB179" s="5" t="inlineStr">
        <x:is>
          <x:t xml:space="preserve"/>
        </x:is>
      </x:c>
      <x:c r="AC179" s="5" t="inlineStr">
        <x:is>
          <x:t xml:space="preserve">OpenAI practical guidance includes creative ideation; creator surveys show broad use of generative AI in creative workflows.</x:t>
        </x:is>
      </x:c>
      <x:c r="AD179" s="5" t="inlineStr">
        <x:is>
          <x:t xml:space="preserve">OpenAI How People Use ChatGPT paper; Adobe creators survey 2025; Wondercraft/Digiday creator workflow survey 2025</x:t>
        </x:is>
      </x:c>
      <x:c r="AE179" s="11">
        <x:f>IF(O179="High",20,IF(O179="Medium",10,IF(O179="Low",5,0)))+IF(P179="High",20,IF(P179="Medium",10,IF(P179="Low",5,0)))+IF(Q179="High",20,IF(Q179="Medium",10,IF(Q179="Low",5,0)))+IF(R179="High",20,IF(R179="Medium",10,IF(R179="Low",5,0)))+IF(S179="High",20,IF(S179="Medium",10,IF(S179="Low",5,0)))</x:f>
        <x:v>30</x:v>
      </x:c>
      <x:c r="AF179" s="12">
        <x:f>ROUND(H179*0.30+J179*0.25+K179*0.20+(100-AE179)*0.10+(100-(V179*20))*0.15,0)</x:f>
        <x:v>64</x:v>
      </x:c>
      <x:c r="AG179" s="13" t="str">
        <x:f>IF(AF179&gt;=80,"Batch 1",IF(AF179&gt;=70,"Batch 2",IF(AF179&gt;=60,"Batch 3","Backlog")))</x:f>
        <x:v>Batch 3</x:v>
      </x:c>
      <x:c r="AH179" t="inlineStr">
        <x:is>
          <x:t xml:space="preserve"/>
        </x:is>
      </x:c>
    </x:row>
    <x:row r="180">
      <x:c r="A180" s="5" t="inlineStr">
        <x:is>
          <x:t xml:space="preserve">GPO-PER-12</x:t>
        </x:is>
      </x:c>
      <x:c r="B180" s="5" t="n">
        <x:v>176</x:v>
      </x:c>
      <x:c r="C180" s="5" t="inlineStr">
        <x:is>
          <x:t xml:space="preserve">Personal Finance &amp; Investing</x:t>
        </x:is>
      </x:c>
      <x:c r="D180" s="5" t="inlineStr">
        <x:is>
          <x:t xml:space="preserve">Money</x:t>
        </x:is>
      </x:c>
      <x:c r="E180" s="5" t="inlineStr">
        <x:is>
          <x:t xml:space="preserve">Expansion 150</x:t>
        </x:is>
      </x:c>
      <x:c r="F180" s="5" t="n">
        <x:v>12</x:v>
      </x:c>
      <x:c r="G180" s="5" t="inlineStr">
        <x:is>
          <x:t xml:space="preserve">Explain the tradeoffs of ETFs vs individual stocks for my goals.</x:t>
        </x:is>
      </x:c>
      <x:c r="H180" s="6" t="n">
        <x:v>53</x:v>
      </x:c>
      <x:c r="I180" s="6" t="n">
        <x:v>53</x:v>
      </x:c>
      <x:c r="J180" s="7" t="n">
        <x:v>69</x:v>
      </x:c>
      <x:c r="K180" s="7" t="n">
        <x:v>60</x:v>
      </x:c>
      <x:c r="L180" s="8" t="inlineStr">
        <x:is>
          <x:t xml:space="preserve">UNTESTED</x:t>
        </x:is>
      </x:c>
      <x:c r="M180" s="9" t="inlineStr">
        <x:is>
          <x:t xml:space="preserve">UNTESTED</x:t>
        </x:is>
      </x:c>
      <x:c r="N180" s="5" t="inlineStr">
        <x:is>
          <x:t xml:space="preserve">scenario modeling; budgeting; portfolio reasoning; decision framing</x:t>
        </x:is>
      </x:c>
      <x:c r="O180" s="5" t="inlineStr">
        <x:is>
          <x:t xml:space="preserve">Medium</x:t>
        </x:is>
      </x:c>
      <x:c r="P180" s="5" t="inlineStr">
        <x:is>
          <x:t xml:space="preserve">High</x:t>
        </x:is>
      </x:c>
      <x:c r="Q180" s="5" t="inlineStr">
        <x:is>
          <x:t xml:space="preserve">Medium</x:t>
        </x:is>
      </x:c>
      <x:c r="R180" s="5" t="inlineStr">
        <x:is>
          <x:t xml:space="preserve">Low</x:t>
        </x:is>
      </x:c>
      <x:c r="S180" s="5" t="inlineStr">
        <x:is>
          <x:t xml:space="preserve">Medium</x:t>
        </x:is>
      </x:c>
      <x:c r="T180" s="5" t="inlineStr">
        <x:is>
          <x:t xml:space="preserve">ChatGPT or Claude with spreadsheet support</x:t>
        </x:is>
      </x:c>
      <x:c r="U180" s="5" t="inlineStr">
        <x:is>
          <x:t xml:space="preserve">Medium</x:t>
        </x:is>
      </x:c>
      <x:c r="V180" s="10" t="n">
        <x:v>2</x:v>
      </x:c>
      <x:c r="W180" s="5" t="inlineStr">
        <x:is>
          <x:t xml:space="preserve">Scenario modeling + coherence review</x:t>
        </x:is>
      </x:c>
      <x:c r="X180" s="5" t="inlineStr">
        <x:is>
          <x:t xml:space="preserve">budget / model / plan / recommendation</x:t>
        </x:is>
      </x:c>
      <x:c r="Y180" s="5" t="inlineStr">
        <x:is>
          <x:t xml:space="preserve">Advice is numerically coherent, practical, and transparent about assumptions.</x:t>
        </x:is>
      </x:c>
      <x:c r="Z180" s="5" t="inlineStr">
        <x:is>
          <x:t xml:space="preserve">Bad math, missing assumptions, or overconfident investment guidance.</x:t>
        </x:is>
      </x:c>
      <x:c r="AA180" s="5" t="inlineStr">
        <x:is>
          <x:t xml:space="preserve">financial calculator / assumption schema / spreadsheet outputs</x:t>
        </x:is>
      </x:c>
      <x:c r="AB180" s="5" t="inlineStr">
        <x:is>
          <x:t xml:space="preserve"/>
        </x:is>
      </x:c>
      <x:c r="AC180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80" s="5" t="inlineStr">
        <x:is>
          <x:t xml:space="preserve">FNBO Financial Wellbeing Study 2025; NerdWallet/Harris Poll 2026; PlanAdviser 2026</x:t>
        </x:is>
      </x:c>
      <x:c r="AE180" s="11">
        <x:f>IF(O180="High",20,IF(O180="Medium",10,IF(O180="Low",5,0)))+IF(P180="High",20,IF(P180="Medium",10,IF(P180="Low",5,0)))+IF(Q180="High",20,IF(Q180="Medium",10,IF(Q180="Low",5,0)))+IF(R180="High",20,IF(R180="Medium",10,IF(R180="Low",5,0)))+IF(S180="High",20,IF(S180="Medium",10,IF(S180="Low",5,0)))</x:f>
        <x:v>55</x:v>
      </x:c>
      <x:c r="AF180" s="12">
        <x:f>ROUND(H180*0.30+J180*0.25+K180*0.20+(100-AE180)*0.10+(100-(V180*20))*0.15,0)</x:f>
        <x:v>59</x:v>
      </x:c>
      <x:c r="AG180" s="13" t="str">
        <x:f>IF(AF180&gt;=80,"Batch 1",IF(AF180&gt;=70,"Batch 2",IF(AF180&gt;=60,"Batch 3","Backlog")))</x:f>
        <x:v>Backlog</x:v>
      </x:c>
      <x:c r="AH180" t="inlineStr">
        <x:is>
          <x:t xml:space="preserve"/>
        </x:is>
      </x:c>
    </x:row>
    <x:row r="181">
      <x:c r="A181" s="5" t="inlineStr">
        <x:is>
          <x:t xml:space="preserve">GPO-RES-20</x:t>
        </x:is>
      </x:c>
      <x:c r="B181" s="5" t="n">
        <x:v>177</x:v>
      </x:c>
      <x:c r="C181" s="5" t="inlineStr">
        <x:is>
          <x:t xml:space="preserve">Research &amp; Analysis</x:t>
        </x:is>
      </x:c>
      <x:c r="D181" s="5" t="inlineStr">
        <x:is>
          <x:t xml:space="preserve">Think</x:t>
        </x:is>
      </x:c>
      <x:c r="E181" s="5" t="inlineStr">
        <x:is>
          <x:t xml:space="preserve">Expansion 150</x:t>
        </x:is>
      </x:c>
      <x:c r="F181" s="5" t="n">
        <x:v>20</x:v>
      </x:c>
      <x:c r="G181" s="5" t="inlineStr">
        <x:is>
          <x:t xml:space="preserve">Identify the unknowns I still need to answer before moving ahead with this decision.</x:t>
        </x:is>
      </x:c>
      <x:c r="H181" s="6" t="n">
        <x:v>50</x:v>
      </x:c>
      <x:c r="I181" s="6" t="n">
        <x:v>50</x:v>
      </x:c>
      <x:c r="J181" s="7" t="n">
        <x:v>73</x:v>
      </x:c>
      <x:c r="K181" s="7" t="n">
        <x:v>60</x:v>
      </x:c>
      <x:c r="L181" s="8" t="inlineStr">
        <x:is>
          <x:t xml:space="preserve">UNTESTED</x:t>
        </x:is>
      </x:c>
      <x:c r="M181" s="9" t="inlineStr">
        <x:is>
          <x:t xml:space="preserve">UNTESTED</x:t>
        </x:is>
      </x:c>
      <x:c r="N181" s="5" t="inlineStr">
        <x:is>
          <x:t xml:space="preserve">web research; synthesis; citation discipline; decision framing</x:t>
        </x:is>
      </x:c>
      <x:c r="O181" s="5" t="inlineStr">
        <x:is>
          <x:t xml:space="preserve">High</x:t>
        </x:is>
      </x:c>
      <x:c r="P181" s="5" t="inlineStr">
        <x:is>
          <x:t xml:space="preserve">Medium</x:t>
        </x:is>
      </x:c>
      <x:c r="Q181" s="5" t="inlineStr">
        <x:is>
          <x:t xml:space="preserve">Medium</x:t>
        </x:is>
      </x:c>
      <x:c r="R181" s="5" t="inlineStr">
        <x:is>
          <x:t xml:space="preserve">Medium</x:t>
        </x:is>
      </x:c>
      <x:c r="S181" s="5" t="inlineStr">
        <x:is>
          <x:t xml:space="preserve">Low</x:t>
        </x:is>
      </x:c>
      <x:c r="T181" s="5" t="inlineStr">
        <x:is>
          <x:t xml:space="preserve">ChatGPT with web; Claude for synthesis</x:t>
        </x:is>
      </x:c>
      <x:c r="U181" s="5" t="inlineStr">
        <x:is>
          <x:t xml:space="preserve">Medium</x:t>
        </x:is>
      </x:c>
      <x:c r="V181" s="10" t="n">
        <x:v>2</x:v>
      </x:c>
      <x:c r="W181" s="5" t="inlineStr">
        <x:is>
          <x:t xml:space="preserve">Live research + source validation + recommendation review</x:t>
        </x:is>
      </x:c>
      <x:c r="X181" s="5" t="inlineStr">
        <x:is>
          <x:t xml:space="preserve">brief / comparison / decision memo / risk analysis</x:t>
        </x:is>
      </x:c>
      <x:c r="Y181" s="5" t="inlineStr">
        <x:is>
          <x:t xml:space="preserve">Accurate synthesis with evidence, tradeoffs, and a concrete recommendation.</x:t>
        </x:is>
      </x:c>
      <x:c r="Z181" s="5" t="inlineStr">
        <x:is>
          <x:t xml:space="preserve">Stale facts, no citations, weak reasoning, or surface-level synthesis.</x:t>
        </x:is>
      </x:c>
      <x:c r="AA181" s="5" t="inlineStr">
        <x:is>
          <x:t xml:space="preserve">web integration / citation enforcement / analysis rubric</x:t>
        </x:is>
      </x:c>
      <x:c r="AB181" s="5" t="inlineStr">
        <x:is>
          <x:t xml:space="preserve"/>
        </x:is>
      </x:c>
      <x:c r="AC181" s="5" t="inlineStr">
        <x:is>
          <x:t xml:space="preserve">OpenAI usage paper: Seeking Information is in top 3 categories; work/advice/search are common across Deloitte and OpenAI.</x:t>
        </x:is>
      </x:c>
      <x:c r="AD181" s="5" t="inlineStr">
        <x:is>
          <x:t xml:space="preserve">OpenAI How People Use ChatGPT paper; Deloitte Connected Consumer 2025</x:t>
        </x:is>
      </x:c>
      <x:c r="AE181" s="11">
        <x:f>IF(O181="High",20,IF(O181="Medium",10,IF(O181="Low",5,0)))+IF(P181="High",20,IF(P181="Medium",10,IF(P181="Low",5,0)))+IF(Q181="High",20,IF(Q181="Medium",10,IF(Q181="Low",5,0)))+IF(R181="High",20,IF(R181="Medium",10,IF(R181="Low",5,0)))+IF(S181="High",20,IF(S181="Medium",10,IF(S181="Low",5,0)))</x:f>
        <x:v>55</x:v>
      </x:c>
      <x:c r="AF181" s="12">
        <x:f>ROUND(H181*0.30+J181*0.25+K181*0.20+(100-AE181)*0.10+(100-(V181*20))*0.15,0)</x:f>
        <x:v>59</x:v>
      </x:c>
      <x:c r="AG181" s="13" t="str">
        <x:f>IF(AF181&gt;=80,"Batch 1",IF(AF181&gt;=70,"Batch 2",IF(AF181&gt;=60,"Batch 3","Backlog")))</x:f>
        <x:v>Backlog</x:v>
      </x:c>
      <x:c r="AH181" t="inlineStr">
        <x:is>
          <x:t xml:space="preserve"/>
        </x:is>
      </x:c>
    </x:row>
    <x:row r="182">
      <x:c r="A182" s="5" t="inlineStr">
        <x:is>
          <x:t xml:space="preserve">GPO-SHO-16</x:t>
        </x:is>
      </x:c>
      <x:c r="B182" s="5" t="n">
        <x:v>178</x:v>
      </x:c>
      <x:c r="C182" s="5" t="inlineStr">
        <x:is>
          <x:t xml:space="preserve">Shopping &amp; Buying Advisor</x:t>
        </x:is>
      </x:c>
      <x:c r="D182" s="5" t="inlineStr">
        <x:is>
          <x:t xml:space="preserve">Buy</x:t>
        </x:is>
      </x:c>
      <x:c r="E182" s="5" t="inlineStr">
        <x:is>
          <x:t xml:space="preserve">Expansion 150</x:t>
        </x:is>
      </x:c>
      <x:c r="F182" s="5" t="n">
        <x:v>16</x:v>
      </x:c>
      <x:c r="G182" s="5" t="inlineStr">
        <x:is>
          <x:t xml:space="preserve">Build the ideal cart for this setup under this budget.</x:t>
        </x:is>
      </x:c>
      <x:c r="H182" s="6" t="n">
        <x:v>50</x:v>
      </x:c>
      <x:c r="I182" s="6" t="n">
        <x:v>50</x:v>
      </x:c>
      <x:c r="J182" s="7" t="n">
        <x:v>73</x:v>
      </x:c>
      <x:c r="K182" s="7" t="n">
        <x:v>60</x:v>
      </x:c>
      <x:c r="L182" s="8" t="inlineStr">
        <x:is>
          <x:t xml:space="preserve">UNTESTED</x:t>
        </x:is>
      </x:c>
      <x:c r="M182" s="9" t="inlineStr">
        <x:is>
          <x:t xml:space="preserve">UNTESTED</x:t>
        </x:is>
      </x:c>
      <x:c r="N182" s="5" t="inlineStr">
        <x:is>
          <x:t xml:space="preserve">web/product research; comparison; price-value reasoning; shortlist generation</x:t>
        </x:is>
      </x:c>
      <x:c r="O182" s="5" t="inlineStr">
        <x:is>
          <x:t xml:space="preserve">High</x:t>
        </x:is>
      </x:c>
      <x:c r="P182" s="5" t="inlineStr">
        <x:is>
          <x:t xml:space="preserve">Medium</x:t>
        </x:is>
      </x:c>
      <x:c r="Q182" s="5" t="inlineStr">
        <x:is>
          <x:t xml:space="preserve">Medium</x:t>
        </x:is>
      </x:c>
      <x:c r="R182" s="5" t="inlineStr">
        <x:is>
          <x:t xml:space="preserve">Low</x:t>
        </x:is>
      </x:c>
      <x:c r="S182" s="5" t="inlineStr">
        <x:is>
          <x:t xml:space="preserve">Low</x:t>
        </x:is>
      </x:c>
      <x:c r="T182" s="5" t="inlineStr">
        <x:is>
          <x:t xml:space="preserve">ChatGPT with web</x:t>
        </x:is>
      </x:c>
      <x:c r="U182" s="5" t="inlineStr">
        <x:is>
          <x:t xml:space="preserve">Easy</x:t>
        </x:is>
      </x:c>
      <x:c r="V182" s="10" t="n">
        <x:v>1</x:v>
      </x:c>
      <x:c r="W182" s="5" t="inlineStr">
        <x:is>
          <x:t xml:space="preserve">Live shopping query + recommendation validation</x:t>
        </x:is>
      </x:c>
      <x:c r="X182" s="5" t="inlineStr">
        <x:is>
          <x:t xml:space="preserve">shortlist / recommendation / comparison / cart plan</x:t>
        </x:is>
      </x:c>
      <x:c r="Y182" s="5" t="inlineStr">
        <x:is>
          <x:t xml:space="preserve">Recommendation fits constraints and explains tradeoffs clearly.</x:t>
        </x:is>
      </x:c>
      <x:c r="Z182" s="5" t="inlineStr">
        <x:is>
          <x:t xml:space="preserve">Outdated products, poor fit, missed constraints, or shallow comparison.</x:t>
        </x:is>
      </x:c>
      <x:c r="AA182" s="5" t="inlineStr">
        <x:is>
          <x:t xml:space="preserve">web/product retrieval / comparison template / user preference memory</x:t>
        </x:is>
      </x:c>
      <x:c r="AB182" s="5" t="inlineStr">
        <x:is>
          <x:t xml:space="preserve"/>
        </x:is>
      </x:c>
      <x:c r="AC182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82" s="5" t="inlineStr">
        <x:is>
          <x:t xml:space="preserve">Deloitte Connected Consumer 2025; Salesforce Connected Shopper 2025; IAB 2025 shopping study</x:t>
        </x:is>
      </x:c>
      <x:c r="AE182" s="11">
        <x:f>IF(O182="High",20,IF(O182="Medium",10,IF(O182="Low",5,0)))+IF(P182="High",20,IF(P182="Medium",10,IF(P182="Low",5,0)))+IF(Q182="High",20,IF(Q182="Medium",10,IF(Q182="Low",5,0)))+IF(R182="High",20,IF(R182="Medium",10,IF(R182="Low",5,0)))+IF(S182="High",20,IF(S182="Medium",10,IF(S182="Low",5,0)))</x:f>
        <x:v>50</x:v>
      </x:c>
      <x:c r="AF182" s="12">
        <x:f>ROUND(H182*0.30+J182*0.25+K182*0.20+(100-AE182)*0.10+(100-(V182*20))*0.15,0)</x:f>
        <x:v>62</x:v>
      </x:c>
      <x:c r="AG182" s="13" t="str">
        <x:f>IF(AF182&gt;=80,"Batch 1",IF(AF182&gt;=70,"Batch 2",IF(AF182&gt;=60,"Batch 3","Backlog")))</x:f>
        <x:v>Batch 3</x:v>
      </x:c>
      <x:c r="AH182" t="inlineStr">
        <x:is>
          <x:t xml:space="preserve"/>
        </x:is>
      </x:c>
    </x:row>
    <x:row r="183">
      <x:c r="A183" s="5" t="inlineStr">
        <x:is>
          <x:t xml:space="preserve">GPO-HEA-09</x:t>
        </x:is>
      </x:c>
      <x:c r="B183" s="5" t="n">
        <x:v>179</x:v>
      </x:c>
      <x:c r="C183" s="5" t="inlineStr">
        <x:is>
          <x:t xml:space="preserve">Health &amp; Wellness Coach</x:t>
        </x:is>
      </x:c>
      <x:c r="D183" s="5" t="inlineStr">
        <x:is>
          <x:t xml:space="preserve">Care</x:t>
        </x:is>
      </x:c>
      <x:c r="E183" s="5" t="inlineStr">
        <x:is>
          <x:t xml:space="preserve">Core 150</x:t>
        </x:is>
      </x:c>
      <x:c r="F183" s="5" t="n">
        <x:v>9</x:v>
      </x:c>
      <x:c r="G183" s="5" t="inlineStr">
        <x:is>
          <x:t xml:space="preserve">Create a habit system to improve energy, mood, and consistency.</x:t>
        </x:is>
      </x:c>
      <x:c r="H183" s="6" t="n">
        <x:v>62</x:v>
      </x:c>
      <x:c r="I183" s="6" t="n">
        <x:v>62</x:v>
      </x:c>
      <x:c r="J183" s="7" t="n">
        <x:v>56</x:v>
      </x:c>
      <x:c r="K183" s="7" t="n">
        <x:v>59</x:v>
      </x:c>
      <x:c r="L183" s="8" t="inlineStr">
        <x:is>
          <x:t xml:space="preserve">UNTESTED</x:t>
        </x:is>
      </x:c>
      <x:c r="M183" s="9" t="inlineStr">
        <x:is>
          <x:t xml:space="preserve">UNTESTED</x:t>
        </x:is>
      </x:c>
      <x:c r="N183" s="5" t="inlineStr">
        <x:is>
          <x:t xml:space="preserve">health explanation; risk framing; behavior coaching; careful disclaimer handling</x:t>
        </x:is>
      </x:c>
      <x:c r="O183" s="5" t="inlineStr">
        <x:is>
          <x:t xml:space="preserve">Medium</x:t>
        </x:is>
      </x:c>
      <x:c r="P183" s="5" t="inlineStr">
        <x:is>
          <x:t xml:space="preserve">High</x:t>
        </x:is>
      </x:c>
      <x:c r="Q183" s="5" t="inlineStr">
        <x:is>
          <x:t xml:space="preserve">Low</x:t>
        </x:is>
      </x:c>
      <x:c r="R183" s="5" t="inlineStr">
        <x:is>
          <x:t xml:space="preserve">Low</x:t>
        </x:is>
      </x:c>
      <x:c r="S183" s="5" t="inlineStr">
        <x:is>
          <x:t xml:space="preserve">Medium</x:t>
        </x:is>
      </x:c>
      <x:c r="T183" s="5" t="inlineStr">
        <x:is>
          <x:t xml:space="preserve">ChatGPT primary with careful guardrails</x:t>
        </x:is>
      </x:c>
      <x:c r="U183" s="5" t="inlineStr">
        <x:is>
          <x:t xml:space="preserve">Medium</x:t>
        </x:is>
      </x:c>
      <x:c r="V183" s="10" t="n">
        <x:v>2</x:v>
      </x:c>
      <x:c r="W183" s="5" t="inlineStr">
        <x:is>
          <x:t xml:space="preserve">Scenario prompts + safety review + usefulness review</x:t>
        </x:is>
      </x:c>
      <x:c r="X183" s="5" t="inlineStr">
        <x:is>
          <x:t xml:space="preserve">plan / explanation / checklist / prep brief</x:t>
        </x:is>
      </x:c>
      <x:c r="Y183" s="5" t="inlineStr">
        <x:is>
          <x:t xml:space="preserve">Useful, cautious, practical guidance that stays within safe boundaries.</x:t>
        </x:is>
      </x:c>
      <x:c r="Z183" s="5" t="inlineStr">
        <x:is>
          <x:t xml:space="preserve">Overconfident medical claims, weak escalation guidance, or unsafe advice.</x:t>
        </x:is>
      </x:c>
      <x:c r="AA183" s="5" t="inlineStr">
        <x:is>
          <x:t xml:space="preserve">safety layer / health mode / evidence grounding</x:t>
        </x:is>
      </x:c>
      <x:c r="AB183" s="5" t="inlineStr">
        <x:is>
          <x:t xml:space="preserve"/>
        </x:is>
      </x:c>
      <x:c r="AC183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83" s="5" t="inlineStr">
        <x:is>
          <x:t xml:space="preserve">OpenAI Introducing GPT-5; APPC 2025 health survey; Deloitte Connected Consumer 2025</x:t>
        </x:is>
      </x:c>
      <x:c r="AE183" s="11">
        <x:f>IF(O183="High",20,IF(O183="Medium",10,IF(O183="Low",5,0)))+IF(P183="High",20,IF(P183="Medium",10,IF(P183="Low",5,0)))+IF(Q183="High",20,IF(Q183="Medium",10,IF(Q183="Low",5,0)))+IF(R183="High",20,IF(R183="Medium",10,IF(R183="Low",5,0)))+IF(S183="High",20,IF(S183="Medium",10,IF(S183="Low",5,0)))</x:f>
        <x:v>50</x:v>
      </x:c>
      <x:c r="AF183" s="12">
        <x:f>ROUND(H183*0.30+J183*0.25+K183*0.20+(100-AE183)*0.10+(100-(V183*20))*0.15,0)</x:f>
        <x:v>58</x:v>
      </x:c>
      <x:c r="AG183" s="13" t="str">
        <x:f>IF(AF183&gt;=80,"Batch 1",IF(AF183&gt;=70,"Batch 2",IF(AF183&gt;=60,"Batch 3","Backlog")))</x:f>
        <x:v>Backlog</x:v>
      </x:c>
      <x:c r="AH183" t="inlineStr">
        <x:is>
          <x:t xml:space="preserve"/>
        </x:is>
      </x:c>
    </x:row>
    <x:row r="184">
      <x:c r="A184" s="5" t="inlineStr">
        <x:is>
          <x:t xml:space="preserve">GPO-CAR-13</x:t>
        </x:is>
      </x:c>
      <x:c r="B184" s="5" t="n">
        <x:v>180</x:v>
      </x:c>
      <x:c r="C184" s="5" t="inlineStr">
        <x:is>
          <x:t xml:space="preserve">Career &amp; Job Search</x:t>
        </x:is>
      </x:c>
      <x:c r="D184" s="5" t="inlineStr">
        <x:is>
          <x:t xml:space="preserve">Advance</x:t>
        </x:is>
      </x:c>
      <x:c r="E184" s="5" t="inlineStr">
        <x:is>
          <x:t xml:space="preserve">Expansion 150</x:t>
        </x:is>
      </x:c>
      <x:c r="F184" s="5" t="n">
        <x:v>13</x:v>
      </x:c>
      <x:c r="G184" s="5" t="inlineStr">
        <x:is>
          <x:t xml:space="preserve">Build a networking/outreach plan that does not feel fake or spammy.</x:t>
        </x:is>
      </x:c>
      <x:c r="H184" s="6" t="n">
        <x:v>49</x:v>
      </x:c>
      <x:c r="I184" s="6" t="n">
        <x:v>49</x:v>
      </x:c>
      <x:c r="J184" s="7" t="n">
        <x:v>74</x:v>
      </x:c>
      <x:c r="K184" s="7" t="n">
        <x:v>60</x:v>
      </x:c>
      <x:c r="L184" s="8" t="inlineStr">
        <x:is>
          <x:t xml:space="preserve">UNTESTED</x:t>
        </x:is>
      </x:c>
      <x:c r="M184" s="9" t="inlineStr">
        <x:is>
          <x:t xml:space="preserve">UNTESTED</x:t>
        </x:is>
      </x:c>
      <x:c r="N184" s="5" t="inlineStr">
        <x:is>
          <x:t xml:space="preserve">resume tailoring; interview prep; role mapping; narrative building</x:t>
        </x:is>
      </x:c>
      <x:c r="O184" s="5" t="inlineStr">
        <x:is>
          <x:t xml:space="preserve">Medium</x:t>
        </x:is>
      </x:c>
      <x:c r="P184" s="5" t="inlineStr">
        <x:is>
          <x:t xml:space="preserve">High</x:t>
        </x:is>
      </x:c>
      <x:c r="Q184" s="5" t="inlineStr">
        <x:is>
          <x:t xml:space="preserve">Low</x:t>
        </x:is>
      </x:c>
      <x:c r="R184" s="5" t="inlineStr">
        <x:is>
          <x:t xml:space="preserve">Low</x:t>
        </x:is>
      </x:c>
      <x:c r="S184" s="5" t="inlineStr">
        <x:is>
          <x:t xml:space="preserve">Low</x:t>
        </x:is>
      </x:c>
      <x:c r="T184" s="5" t="inlineStr">
        <x:is>
          <x:t xml:space="preserve">ChatGPT primary</x:t>
        </x:is>
      </x:c>
      <x:c r="U184" s="5" t="inlineStr">
        <x:is>
          <x:t xml:space="preserve">Easy</x:t>
        </x:is>
      </x:c>
      <x:c r="V184" s="10" t="n">
        <x:v>1</x:v>
      </x:c>
      <x:c r="W184" s="5" t="inlineStr">
        <x:is>
          <x:t xml:space="preserve">Artifact review + mock interview + targeting review</x:t>
        </x:is>
      </x:c>
      <x:c r="X184" s="5" t="inlineStr">
        <x:is>
          <x:t xml:space="preserve">resume / prep plan / outreach / strategy memo</x:t>
        </x:is>
      </x:c>
      <x:c r="Y184" s="5" t="inlineStr">
        <x:is>
          <x:t xml:space="preserve">Career outputs are specific, credible, and materially improve positioning.</x:t>
        </x:is>
      </x:c>
      <x:c r="Z184" s="5" t="inlineStr">
        <x:is>
          <x:t xml:space="preserve">Generic resume language, fake-sounding stories, or weak role fit.</x:t>
        </x:is>
      </x:c>
      <x:c r="AA184" s="5" t="inlineStr">
        <x:is>
          <x:t xml:space="preserve">career templates / memory / ATS-aware output logic</x:t>
        </x:is>
      </x:c>
      <x:c r="AB184" s="5" t="inlineStr">
        <x:is>
          <x:t xml:space="preserve"/>
        </x:is>
      </x:c>
      <x:c r="AC184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84" s="5" t="inlineStr">
        <x:is>
          <x:t xml:space="preserve">Insight Global AI in Hiring Report 2025; NACE student survey 2025/2026</x:t>
        </x:is>
      </x:c>
      <x:c r="AE184" s="11">
        <x:f>IF(O184="High",20,IF(O184="Medium",10,IF(O184="Low",5,0)))+IF(P184="High",20,IF(P184="Medium",10,IF(P184="Low",5,0)))+IF(Q184="High",20,IF(Q184="Medium",10,IF(Q184="Low",5,0)))+IF(R184="High",20,IF(R184="Medium",10,IF(R184="Low",5,0)))+IF(S184="High",20,IF(S184="Medium",10,IF(S184="Low",5,0)))</x:f>
        <x:v>45</x:v>
      </x:c>
      <x:c r="AF184" s="12">
        <x:f>ROUND(H184*0.30+J184*0.25+K184*0.20+(100-AE184)*0.10+(100-(V184*20))*0.15,0)</x:f>
        <x:v>63</x:v>
      </x:c>
      <x:c r="AG184" s="13" t="str">
        <x:f>IF(AF184&gt;=80,"Batch 1",IF(AF184&gt;=70,"Batch 2",IF(AF184&gt;=60,"Batch 3","Backlog")))</x:f>
        <x:v>Batch 3</x:v>
      </x:c>
      <x:c r="AH184" t="inlineStr">
        <x:is>
          <x:t xml:space="preserve"/>
        </x:is>
      </x:c>
    </x:row>
    <x:row r="185">
      <x:c r="A185" s="5" t="inlineStr">
        <x:is>
          <x:t xml:space="preserve">GPO-STA-12</x:t>
        </x:is>
      </x:c>
      <x:c r="B185" s="5" t="n">
        <x:v>181</x:v>
      </x:c>
      <x:c r="C185" s="5" t="inlineStr">
        <x:is>
          <x:t xml:space="preserve">Startup &amp; Business Builder</x:t>
        </x:is>
      </x:c>
      <x:c r="D185" s="5" t="inlineStr">
        <x:is>
          <x:t xml:space="preserve">Build</x:t>
        </x:is>
      </x:c>
      <x:c r="E185" s="5" t="inlineStr">
        <x:is>
          <x:t xml:space="preserve">Expansion 150</x:t>
        </x:is>
      </x:c>
      <x:c r="F185" s="5" t="n">
        <x:v>12</x:v>
      </x:c>
      <x:c r="G185" s="5" t="inlineStr">
        <x:is>
          <x:t xml:space="preserve">Create an MVP scope that proves demand without overbuilding.</x:t>
        </x:is>
      </x:c>
      <x:c r="H185" s="6" t="n">
        <x:v>51</x:v>
      </x:c>
      <x:c r="I185" s="6" t="n">
        <x:v>51</x:v>
      </x:c>
      <x:c r="J185" s="7" t="n">
        <x:v>71</x:v>
      </x:c>
      <x:c r="K185" s="7" t="n">
        <x:v>60</x:v>
      </x:c>
      <x:c r="L185" s="8" t="inlineStr">
        <x:is>
          <x:t xml:space="preserve">UNTESTED</x:t>
        </x:is>
      </x:c>
      <x:c r="M185" s="9" t="inlineStr">
        <x:is>
          <x:t xml:space="preserve">UNTESTED</x:t>
        </x:is>
      </x:c>
      <x:c r="N185" s="5" t="inlineStr">
        <x:is>
          <x:t xml:space="preserve">strategy; product thinking; GTM reasoning; structured planning</x:t>
        </x:is>
      </x:c>
      <x:c r="O185" s="5" t="inlineStr">
        <x:is>
          <x:t xml:space="preserve">Medium</x:t>
        </x:is>
      </x:c>
      <x:c r="P185" s="5" t="inlineStr">
        <x:is>
          <x:t xml:space="preserve">High</x:t>
        </x:is>
      </x:c>
      <x:c r="Q185" s="5" t="inlineStr">
        <x:is>
          <x:t xml:space="preserve">Low</x:t>
        </x:is>
      </x:c>
      <x:c r="R185" s="5" t="inlineStr">
        <x:is>
          <x:t xml:space="preserve">Medium</x:t>
        </x:is>
      </x:c>
      <x:c r="S185" s="5" t="inlineStr">
        <x:is>
          <x:t xml:space="preserve">Low</x:t>
        </x:is>
      </x:c>
      <x:c r="T185" s="5" t="inlineStr">
        <x:is>
          <x:t xml:space="preserve">Claude + ChatGPT combo</x:t>
        </x:is>
      </x:c>
      <x:c r="U185" s="5" t="inlineStr">
        <x:is>
          <x:t xml:space="preserve">Easy</x:t>
        </x:is>
      </x:c>
      <x:c r="V185" s="10" t="n">
        <x:v>1</x:v>
      </x:c>
      <x:c r="W185" s="5" t="inlineStr">
        <x:is>
          <x:t xml:space="preserve">Plan generation + critique + strategic review</x:t>
        </x:is>
      </x:c>
      <x:c r="X185" s="5" t="inlineStr">
        <x:is>
          <x:t xml:space="preserve">roadmap / GTM plan / business memo</x:t>
        </x:is>
      </x:c>
      <x:c r="Y185" s="5" t="inlineStr">
        <x:is>
          <x:t xml:space="preserve">Recommendation is strategically sharp, prioritized, and grounded in market reality.</x:t>
        </x:is>
      </x:c>
      <x:c r="Z185" s="5" t="inlineStr">
        <x:is>
          <x:t xml:space="preserve">Buzzwordy output, no wedge, weak prioritization, or unearned confidence.</x:t>
        </x:is>
      </x:c>
      <x:c r="AA185" s="5" t="inlineStr">
        <x:is>
          <x:t xml:space="preserve">strategy templates / board logic / critique loop</x:t>
        </x:is>
      </x:c>
      <x:c r="AB185" s="5" t="inlineStr">
        <x:is>
          <x:t xml:space="preserve"/>
        </x:is>
      </x:c>
      <x:c r="AC18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85" s="5" t="inlineStr">
        <x:is>
          <x:t xml:space="preserve">OpenAI How People Use ChatGPT paper; Menlo State of Consumer AI 2025; Menlo AI UI Problem 2025</x:t>
        </x:is>
      </x:c>
      <x:c r="AE185" s="11">
        <x:f>IF(O185="High",20,IF(O185="Medium",10,IF(O185="Low",5,0)))+IF(P185="High",20,IF(P185="Medium",10,IF(P185="Low",5,0)))+IF(Q185="High",20,IF(Q185="Medium",10,IF(Q185="Low",5,0)))+IF(R185="High",20,IF(R185="Medium",10,IF(R185="Low",5,0)))+IF(S185="High",20,IF(S185="Medium",10,IF(S185="Low",5,0)))</x:f>
        <x:v>50</x:v>
      </x:c>
      <x:c r="AF185" s="12">
        <x:f>ROUND(H185*0.30+J185*0.25+K185*0.20+(100-AE185)*0.10+(100-(V185*20))*0.15,0)</x:f>
        <x:v>62</x:v>
      </x:c>
      <x:c r="AG185" s="13" t="str">
        <x:f>IF(AF185&gt;=80,"Batch 1",IF(AF185&gt;=70,"Batch 2",IF(AF185&gt;=60,"Batch 3","Backlog")))</x:f>
        <x:v>Batch 3</x:v>
      </x:c>
      <x:c r="AH185" t="inlineStr">
        <x:is>
          <x:t xml:space="preserve"/>
        </x:is>
      </x:c>
    </x:row>
    <x:row r="186">
      <x:c r="A186" s="5" t="inlineStr">
        <x:is>
          <x:t xml:space="preserve">GPO-SCH-18</x:t>
        </x:is>
      </x:c>
      <x:c r="B186" s="5" t="n">
        <x:v>182</x:v>
      </x:c>
      <x:c r="C186" s="5" t="inlineStr">
        <x:is>
          <x:t xml:space="preserve">Scheduling &amp; Life Operations</x:t>
        </x:is>
      </x:c>
      <x:c r="D186" s="5" t="inlineStr">
        <x:is>
          <x:t xml:space="preserve">Operate</x:t>
        </x:is>
      </x:c>
      <x:c r="E186" s="5" t="inlineStr">
        <x:is>
          <x:t xml:space="preserve">Expansion 150</x:t>
        </x:is>
      </x:c>
      <x:c r="F186" s="5" t="n">
        <x:v>18</x:v>
      </x:c>
      <x:c r="G186" s="5" t="inlineStr">
        <x:is>
          <x:t xml:space="preserve">Help me combine multiple errands/appointments into one efficient route/day.</x:t>
        </x:is>
      </x:c>
      <x:c r="H186" s="6" t="n">
        <x:v>50</x:v>
      </x:c>
      <x:c r="I186" s="6" t="n">
        <x:v>50</x:v>
      </x:c>
      <x:c r="J186" s="7" t="n">
        <x:v>72</x:v>
      </x:c>
      <x:c r="K186" s="7" t="n">
        <x:v>60</x:v>
      </x:c>
      <x:c r="L186" s="8" t="inlineStr">
        <x:is>
          <x:t xml:space="preserve">UNTESTED</x:t>
        </x:is>
      </x:c>
      <x:c r="M186" s="9" t="inlineStr">
        <x:is>
          <x:t xml:space="preserve">UNTESTED</x:t>
        </x:is>
      </x:c>
      <x:c r="N186" s="5" t="inlineStr">
        <x:is>
          <x:t xml:space="preserve">task planning; prioritization; calendar reasoning; personal constraints handling</x:t>
        </x:is>
      </x:c>
      <x:c r="O186" s="5" t="inlineStr">
        <x:is>
          <x:t xml:space="preserve">Low</x:t>
        </x:is>
      </x:c>
      <x:c r="P186" s="5" t="inlineStr">
        <x:is>
          <x:t xml:space="preserve">High</x:t>
        </x:is>
      </x:c>
      <x:c r="Q186" s="5" t="inlineStr">
        <x:is>
          <x:t xml:space="preserve">Medium</x:t>
        </x:is>
      </x:c>
      <x:c r="R186" s="5" t="inlineStr">
        <x:is>
          <x:t xml:space="preserve">Low</x:t>
        </x:is>
      </x:c>
      <x:c r="S186" s="5" t="inlineStr">
        <x:is>
          <x:t xml:space="preserve">Low</x:t>
        </x:is>
      </x:c>
      <x:c r="T186" s="5" t="inlineStr">
        <x:is>
          <x:t xml:space="preserve">ChatGPT primary; calendar integrations later</x:t>
        </x:is>
      </x:c>
      <x:c r="U186" s="5" t="inlineStr">
        <x:is>
          <x:t xml:space="preserve">Easy</x:t>
        </x:is>
      </x:c>
      <x:c r="V186" s="10" t="n">
        <x:v>1</x:v>
      </x:c>
      <x:c r="W186" s="5" t="inlineStr">
        <x:is>
          <x:t xml:space="preserve">Scenario-based planning + operator utility review</x:t>
        </x:is>
      </x:c>
      <x:c r="X186" s="5" t="inlineStr">
        <x:is>
          <x:t xml:space="preserve">schedule / checklist / operating plan</x:t>
        </x:is>
      </x:c>
      <x:c r="Y186" s="5" t="inlineStr">
        <x:is>
          <x:t xml:space="preserve">Plan is realistic, prioritized, and executable under stated constraints.</x:t>
        </x:is>
      </x:c>
      <x:c r="Z186" s="5" t="inlineStr">
        <x:is>
          <x:t xml:space="preserve">Overpacked schedule, ignored constraints, or vague next steps.</x:t>
        </x:is>
      </x:c>
      <x:c r="AA186" s="5" t="inlineStr">
        <x:is>
          <x:t xml:space="preserve">planner engine / memory / calendar-tool integration</x:t>
        </x:is>
      </x:c>
      <x:c r="AB186" s="5" t="inlineStr">
        <x:is>
          <x:t xml:space="preserve"/>
        </x:is>
      </x:c>
      <x:c r="AC186" s="5" t="inlineStr">
        <x:is>
          <x:t xml:space="preserve">Menlo consumer AI: 18% use AI to manage to-do lists and 15% to organize notes; Zao-Sanders ranked 'Organise my life' #2.</x:t>
        </x:is>
      </x:c>
      <x:c r="AD186" s="5" t="inlineStr">
        <x:is>
          <x:t xml:space="preserve">Menlo State of Consumer AI 2025; Zao-Sanders Top-100 GenAI Use Cases 2025</x:t>
        </x:is>
      </x:c>
      <x:c r="AE186" s="11">
        <x:f>IF(O186="High",20,IF(O186="Medium",10,IF(O186="Low",5,0)))+IF(P186="High",20,IF(P186="Medium",10,IF(P186="Low",5,0)))+IF(Q186="High",20,IF(Q186="Medium",10,IF(Q186="Low",5,0)))+IF(R186="High",20,IF(R186="Medium",10,IF(R186="Low",5,0)))+IF(S186="High",20,IF(S186="Medium",10,IF(S186="Low",5,0)))</x:f>
        <x:v>45</x:v>
      </x:c>
      <x:c r="AF186" s="12">
        <x:f>ROUND(H186*0.30+J186*0.25+K186*0.20+(100-AE186)*0.10+(100-(V186*20))*0.15,0)</x:f>
        <x:v>63</x:v>
      </x:c>
      <x:c r="AG186" s="13" t="str">
        <x:f>IF(AF186&gt;=80,"Batch 1",IF(AF186&gt;=70,"Batch 2",IF(AF186&gt;=60,"Batch 3","Backlog")))</x:f>
        <x:v>Batch 3</x:v>
      </x:c>
      <x:c r="AH186" t="inlineStr">
        <x:is>
          <x:t xml:space="preserve"/>
        </x:is>
      </x:c>
    </x:row>
    <x:row r="187">
      <x:c r="A187" s="5" t="inlineStr">
        <x:is>
          <x:t xml:space="preserve">GPO-TRA-15</x:t>
        </x:is>
      </x:c>
      <x:c r="B187" s="5" t="n">
        <x:v>183</x:v>
      </x:c>
      <x:c r="C187" s="5" t="inlineStr">
        <x:is>
          <x:t xml:space="preserve">Travel &amp; Relocation Planner</x:t>
        </x:is>
      </x:c>
      <x:c r="D187" s="5" t="inlineStr">
        <x:is>
          <x:t xml:space="preserve">Move</x:t>
        </x:is>
      </x:c>
      <x:c r="E187" s="5" t="inlineStr">
        <x:is>
          <x:t xml:space="preserve">Expansion 150</x:t>
        </x:is>
      </x:c>
      <x:c r="F187" s="5" t="n">
        <x:v>15</x:v>
      </x:c>
      <x:c r="G187" s="5" t="inlineStr">
        <x:is>
          <x:t xml:space="preserve">Help me minimize jet lag, wasted transit time, and bad logistics.</x:t>
        </x:is>
      </x:c>
      <x:c r="H187" s="6" t="n">
        <x:v>50</x:v>
      </x:c>
      <x:c r="I187" s="6" t="n">
        <x:v>50</x:v>
      </x:c>
      <x:c r="J187" s="7" t="n">
        <x:v>72</x:v>
      </x:c>
      <x:c r="K187" s="7" t="n">
        <x:v>60</x:v>
      </x:c>
      <x:c r="L187" s="8" t="inlineStr">
        <x:is>
          <x:t xml:space="preserve">UNTESTED</x:t>
        </x:is>
      </x:c>
      <x:c r="M187" s="9" t="inlineStr">
        <x:is>
          <x:t xml:space="preserve">UNTESTED</x:t>
        </x:is>
      </x:c>
      <x:c r="N187" s="5" t="inlineStr">
        <x:is>
          <x:t xml:space="preserve">travel research; itinerary planning; logistics reasoning; contingency planning</x:t>
        </x:is>
      </x:c>
      <x:c r="O187" s="5" t="inlineStr">
        <x:is>
          <x:t xml:space="preserve">High</x:t>
        </x:is>
      </x:c>
      <x:c r="P187" s="5" t="inlineStr">
        <x:is>
          <x:t xml:space="preserve">Medium</x:t>
        </x:is>
      </x:c>
      <x:c r="Q187" s="5" t="inlineStr">
        <x:is>
          <x:t xml:space="preserve">Medium</x:t>
        </x:is>
      </x:c>
      <x:c r="R187" s="5" t="inlineStr">
        <x:is>
          <x:t xml:space="preserve">Low</x:t>
        </x:is>
      </x:c>
      <x:c r="S187" s="5" t="inlineStr">
        <x:is>
          <x:t xml:space="preserve">Low</x:t>
        </x:is>
      </x:c>
      <x:c r="T187" s="5" t="inlineStr">
        <x:is>
          <x:t xml:space="preserve">ChatGPT with web; maps/calendar later</x:t>
        </x:is>
      </x:c>
      <x:c r="U187" s="5" t="inlineStr">
        <x:is>
          <x:t xml:space="preserve">Easy</x:t>
        </x:is>
      </x:c>
      <x:c r="V187" s="10" t="n">
        <x:v>1</x:v>
      </x:c>
      <x:c r="W187" s="5" t="inlineStr">
        <x:is>
          <x:t xml:space="preserve">Live trip planning + feasibility review</x:t>
        </x:is>
      </x:c>
      <x:c r="X187" s="5" t="inlineStr">
        <x:is>
          <x:t xml:space="preserve">itinerary / relocation plan / checklist</x:t>
        </x:is>
      </x:c>
      <x:c r="Y187" s="5" t="inlineStr">
        <x:is>
          <x:t xml:space="preserve">Plan is current, geographically sensible, and tuned to budget/constraints.</x:t>
        </x:is>
      </x:c>
      <x:c r="Z187" s="5" t="inlineStr">
        <x:is>
          <x:t xml:space="preserve">Bad logistics, stale info, wrong timing, or generic travel advice.</x:t>
        </x:is>
      </x:c>
      <x:c r="AA187" s="5" t="inlineStr">
        <x:is>
          <x:t xml:space="preserve">travel templates / web + mapping integration / logistics engine</x:t>
        </x:is>
      </x:c>
      <x:c r="AB187" s="5" t="inlineStr">
        <x:is>
          <x:t xml:space="preserve"/>
        </x:is>
      </x:c>
      <x:c r="AC187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87" s="5" t="inlineStr">
        <x:is>
          <x:t xml:space="preserve">Deloitte Connected Consumer 2025; Adobe travel planning 2025</x:t>
        </x:is>
      </x:c>
      <x:c r="AE187" s="11">
        <x:f>IF(O187="High",20,IF(O187="Medium",10,IF(O187="Low",5,0)))+IF(P187="High",20,IF(P187="Medium",10,IF(P187="Low",5,0)))+IF(Q187="High",20,IF(Q187="Medium",10,IF(Q187="Low",5,0)))+IF(R187="High",20,IF(R187="Medium",10,IF(R187="Low",5,0)))+IF(S187="High",20,IF(S187="Medium",10,IF(S187="Low",5,0)))</x:f>
        <x:v>50</x:v>
      </x:c>
      <x:c r="AF187" s="12">
        <x:f>ROUND(H187*0.30+J187*0.25+K187*0.20+(100-AE187)*0.10+(100-(V187*20))*0.15,0)</x:f>
        <x:v>62</x:v>
      </x:c>
      <x:c r="AG187" s="13" t="str">
        <x:f>IF(AF187&gt;=80,"Batch 1",IF(AF187&gt;=70,"Batch 2",IF(AF187&gt;=60,"Batch 3","Backlog")))</x:f>
        <x:v>Batch 3</x:v>
      </x:c>
      <x:c r="AH187" t="inlineStr">
        <x:is>
          <x:t xml:space="preserve"/>
        </x:is>
      </x:c>
    </x:row>
    <x:row r="188">
      <x:c r="A188" s="5" t="inlineStr">
        <x:is>
          <x:t xml:space="preserve">GPO-LEA-20</x:t>
        </x:is>
      </x:c>
      <x:c r="B188" s="5" t="n">
        <x:v>184</x:v>
      </x:c>
      <x:c r="C188" s="5" t="inlineStr">
        <x:is>
          <x:t xml:space="preserve">Learning &amp; Tutoring</x:t>
        </x:is>
      </x:c>
      <x:c r="D188" s="5" t="inlineStr">
        <x:is>
          <x:t xml:space="preserve">Grow</x:t>
        </x:is>
      </x:c>
      <x:c r="E188" s="5" t="inlineStr">
        <x:is>
          <x:t xml:space="preserve">Expansion 150</x:t>
        </x:is>
      </x:c>
      <x:c r="F188" s="5" t="n">
        <x:v>20</x:v>
      </x:c>
      <x:c r="G188" s="5" t="inlineStr">
        <x:is>
          <x:t xml:space="preserve">Help me go from confused to confident on {topic} tonight.</x:t>
        </x:is>
      </x:c>
      <x:c r="H188" s="6" t="n">
        <x:v>48</x:v>
      </x:c>
      <x:c r="I188" s="6" t="n">
        <x:v>48</x:v>
      </x:c>
      <x:c r="J188" s="7" t="n">
        <x:v>75</x:v>
      </x:c>
      <x:c r="K188" s="7" t="n">
        <x:v>60</x:v>
      </x:c>
      <x:c r="L188" s="8" t="inlineStr">
        <x:is>
          <x:t xml:space="preserve">UNTESTED</x:t>
        </x:is>
      </x:c>
      <x:c r="M188" s="9" t="inlineStr">
        <x:is>
          <x:t xml:space="preserve">UNTESTED</x:t>
        </x:is>
      </x:c>
      <x:c r="N188" s="5" t="inlineStr">
        <x:is>
          <x:t xml:space="preserve">adaptive tutoring; curriculum planning; quiz generation; context retention</x:t>
        </x:is>
      </x:c>
      <x:c r="O188" s="5" t="inlineStr">
        <x:is>
          <x:t xml:space="preserve">Low</x:t>
        </x:is>
      </x:c>
      <x:c r="P188" s="5" t="inlineStr">
        <x:is>
          <x:t xml:space="preserve">High</x:t>
        </x:is>
      </x:c>
      <x:c r="Q188" s="5" t="inlineStr">
        <x:is>
          <x:t xml:space="preserve">Low</x:t>
        </x:is>
      </x:c>
      <x:c r="R188" s="5" t="inlineStr">
        <x:is>
          <x:t xml:space="preserve">Low</x:t>
        </x:is>
      </x:c>
      <x:c r="S188" s="5" t="inlineStr">
        <x:is>
          <x:t xml:space="preserve">Low</x:t>
        </x:is>
      </x:c>
      <x:c r="T188" s="5" t="inlineStr">
        <x:is>
          <x:t xml:space="preserve">ChatGPT primary</x:t>
        </x:is>
      </x:c>
      <x:c r="U188" s="5" t="inlineStr">
        <x:is>
          <x:t xml:space="preserve">Easy</x:t>
        </x:is>
      </x:c>
      <x:c r="V188" s="10" t="n">
        <x:v>1</x:v>
      </x:c>
      <x:c r="W188" s="5" t="inlineStr">
        <x:is>
          <x:t xml:space="preserve">Interactive tutoring session + quality review</x:t>
        </x:is>
      </x:c>
      <x:c r="X188" s="5" t="inlineStr">
        <x:is>
          <x:t xml:space="preserve">lesson / plan / quiz / explanation</x:t>
        </x:is>
      </x:c>
      <x:c r="Y188" s="5" t="inlineStr">
        <x:is>
          <x:t xml:space="preserve">Teaching is accurate, adaptive, and improves understanding rather than over-answering.</x:t>
        </x:is>
      </x:c>
      <x:c r="Z188" s="5" t="inlineStr">
        <x:is>
          <x:t xml:space="preserve">Wrong explanations, over-helping, no adaptation, or generic curriculum.</x:t>
        </x:is>
      </x:c>
      <x:c r="AA188" s="5" t="inlineStr">
        <x:is>
          <x:t xml:space="preserve">tutor mode / memory / scaffolding logic</x:t>
        </x:is>
      </x:c>
      <x:c r="AB188" s="5" t="inlineStr">
        <x:is>
          <x:t xml:space="preserve"/>
        </x:is>
      </x:c>
      <x:c r="AC188" s="5" t="inlineStr">
        <x:is>
          <x:t xml:space="preserve">OpenAI practical guidance includes tutoring; HEPI 2025 says 88% of students use GenAI for assessments, often to explain concepts and summarize articles.</x:t>
        </x:is>
      </x:c>
      <x:c r="AD188" s="5" t="inlineStr">
        <x:is>
          <x:t xml:space="preserve">OpenAI How People Use ChatGPT paper; HEPI Student Generative AI Survey 2025; Brookings 2026 tutoring article</x:t>
        </x:is>
      </x:c>
      <x:c r="AE188" s="11">
        <x:f>IF(O188="High",20,IF(O188="Medium",10,IF(O188="Low",5,0)))+IF(P188="High",20,IF(P188="Medium",10,IF(P188="Low",5,0)))+IF(Q188="High",20,IF(Q188="Medium",10,IF(Q188="Low",5,0)))+IF(R188="High",20,IF(R188="Medium",10,IF(R188="Low",5,0)))+IF(S188="High",20,IF(S188="Medium",10,IF(S188="Low",5,0)))</x:f>
        <x:v>40</x:v>
      </x:c>
      <x:c r="AF188" s="12">
        <x:f>ROUND(H188*0.30+J188*0.25+K188*0.20+(100-AE188)*0.10+(100-(V188*20))*0.15,0)</x:f>
        <x:v>63</x:v>
      </x:c>
      <x:c r="AG188" s="13" t="str">
        <x:f>IF(AF188&gt;=80,"Batch 1",IF(AF188&gt;=70,"Batch 2",IF(AF188&gt;=60,"Batch 3","Backlog")))</x:f>
        <x:v>Batch 3</x:v>
      </x:c>
      <x:c r="AH188" t="inlineStr">
        <x:is>
          <x:t xml:space="preserve"/>
        </x:is>
      </x:c>
    </x:row>
    <x:row r="189">
      <x:c r="A189" s="5" t="inlineStr">
        <x:is>
          <x:t xml:space="preserve">GPO-HOM-01</x:t>
        </x:is>
      </x:c>
      <x:c r="B189" s="5" t="n">
        <x:v>185</x:v>
      </x:c>
      <x:c r="C189" s="5" t="inlineStr">
        <x:is>
          <x:t xml:space="preserve">Home &amp; Lifestyle Design</x:t>
        </x:is>
      </x:c>
      <x:c r="D189" s="5" t="inlineStr">
        <x:is>
          <x:t xml:space="preserve">Design</x:t>
        </x:is>
      </x:c>
      <x:c r="E189" s="5" t="inlineStr">
        <x:is>
          <x:t xml:space="preserve">Core 150</x:t>
        </x:is>
      </x:c>
      <x:c r="F189" s="5" t="n">
        <x:v>1</x:v>
      </x:c>
      <x:c r="G189" s="5" t="inlineStr">
        <x:is>
          <x:t xml:space="preserve">Design my room/home setup for my main goal with layout, materials, and budget tiers.</x:t>
        </x:is>
      </x:c>
      <x:c r="H189" s="6" t="n">
        <x:v>48</x:v>
      </x:c>
      <x:c r="I189" s="6" t="n">
        <x:v>48</x:v>
      </x:c>
      <x:c r="J189" s="7" t="n">
        <x:v>74</x:v>
      </x:c>
      <x:c r="K189" s="7" t="n">
        <x:v>60</x:v>
      </x:c>
      <x:c r="L189" s="8" t="inlineStr">
        <x:is>
          <x:t xml:space="preserve">UNTESTED</x:t>
        </x:is>
      </x:c>
      <x:c r="M189" s="9" t="inlineStr">
        <x:is>
          <x:t xml:space="preserve">UNTESTED</x:t>
        </x:is>
      </x:c>
      <x:c r="N189" s="5" t="inlineStr">
        <x:is>
          <x:t xml:space="preserve">space planning; product curation; aesthetic reasoning; phased project planning</x:t>
        </x:is>
      </x:c>
      <x:c r="O189" s="5" t="inlineStr">
        <x:is>
          <x:t xml:space="preserve">Medium</x:t>
        </x:is>
      </x:c>
      <x:c r="P189" s="5" t="inlineStr">
        <x:is>
          <x:t xml:space="preserve">High</x:t>
        </x:is>
      </x:c>
      <x:c r="Q189" s="5" t="inlineStr">
        <x:is>
          <x:t xml:space="preserve">Medium</x:t>
        </x:is>
      </x:c>
      <x:c r="R189" s="5" t="inlineStr">
        <x:is>
          <x:t xml:space="preserve">Low</x:t>
        </x:is>
      </x:c>
      <x:c r="S189" s="5" t="inlineStr">
        <x:is>
          <x:t xml:space="preserve">Low</x:t>
        </x:is>
      </x:c>
      <x:c r="T189" s="5" t="inlineStr">
        <x:is>
          <x:t xml:space="preserve">ChatGPT with web; image/design tools later</x:t>
        </x:is>
      </x:c>
      <x:c r="U189" s="5" t="inlineStr">
        <x:is>
          <x:t xml:space="preserve">Easy</x:t>
        </x:is>
      </x:c>
      <x:c r="V189" s="10" t="n">
        <x:v>1</x:v>
      </x:c>
      <x:c r="W189" s="5" t="inlineStr">
        <x:is>
          <x:t xml:space="preserve">Design brief generation + feasibility review</x:t>
        </x:is>
      </x:c>
      <x:c r="X189" s="5" t="inlineStr">
        <x:is>
          <x:t xml:space="preserve">layout / shopping plan / phased upgrade roadmap</x:t>
        </x:is>
      </x:c>
      <x:c r="Y189" s="5" t="inlineStr">
        <x:is>
          <x:t xml:space="preserve">Design plan feels cohesive, practical, and matched to lifestyle goals.</x:t>
        </x:is>
      </x:c>
      <x:c r="Z189" s="5" t="inlineStr">
        <x:is>
          <x:t xml:space="preserve">Pretty but impractical suggestions, no budget logic, or weak taste alignment.</x:t>
        </x:is>
      </x:c>
      <x:c r="AA189" s="5" t="inlineStr">
        <x:is>
          <x:t xml:space="preserve">design preference memory / shopping integration / image workflow</x:t>
        </x:is>
      </x:c>
      <x:c r="AB189" s="5" t="inlineStr">
        <x:is>
          <x:t xml:space="preserve"/>
        </x:is>
      </x:c>
      <x:c r="AC189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189" s="5" t="inlineStr">
        <x:is>
          <x:t xml:space="preserve">ThinkLab 2025 design benchmark; Houzz 2025 AI in construction &amp; design; Canadian Contractor/Mattoboard survey 2025</x:t>
        </x:is>
      </x:c>
      <x:c r="AE189" s="11">
        <x:f>IF(O189="High",20,IF(O189="Medium",10,IF(O189="Low",5,0)))+IF(P189="High",20,IF(P189="Medium",10,IF(P189="Low",5,0)))+IF(Q189="High",20,IF(Q189="Medium",10,IF(Q189="Low",5,0)))+IF(R189="High",20,IF(R189="Medium",10,IF(R189="Low",5,0)))+IF(S189="High",20,IF(S189="Medium",10,IF(S189="Low",5,0)))</x:f>
        <x:v>50</x:v>
      </x:c>
      <x:c r="AF189" s="12">
        <x:f>ROUND(H189*0.30+J189*0.25+K189*0.20+(100-AE189)*0.10+(100-(V189*20))*0.15,0)</x:f>
        <x:v>62</x:v>
      </x:c>
      <x:c r="AG189" s="13" t="str">
        <x:f>IF(AF189&gt;=80,"Batch 1",IF(AF189&gt;=70,"Batch 2",IF(AF189&gt;=60,"Batch 3","Backlog")))</x:f>
        <x:v>Batch 3</x:v>
      </x:c>
      <x:c r="AH189" t="inlineStr">
        <x:is>
          <x:t xml:space="preserve"/>
        </x:is>
      </x:c>
    </x:row>
    <x:row r="190">
      <x:c r="A190" s="5" t="inlineStr">
        <x:is>
          <x:t xml:space="preserve">GPO-SCR-08</x:t>
        </x:is>
      </x:c>
      <x:c r="B190" s="5" t="n">
        <x:v>186</x:v>
      </x:c>
      <x:c r="C190" s="5" t="inlineStr">
        <x:is>
          <x:t xml:space="preserve">Screenwriting &amp; Story Development</x:t>
        </x:is>
      </x:c>
      <x:c r="D190" s="5" t="inlineStr">
        <x:is>
          <x:t xml:space="preserve">Create</x:t>
        </x:is>
      </x:c>
      <x:c r="E190" s="5" t="inlineStr">
        <x:is>
          <x:t xml:space="preserve">Core 150</x:t>
        </x:is>
      </x:c>
      <x:c r="F190" s="5" t="n">
        <x:v>8</x:v>
      </x:c>
      <x:c r="G190" s="5" t="inlineStr">
        <x:is>
          <x:t xml:space="preserve">Pressure-test whether this story has enough conflict and stakes.</x:t>
        </x:is>
      </x:c>
      <x:c r="H190" s="6" t="n">
        <x:v>50</x:v>
      </x:c>
      <x:c r="I190" s="6" t="n">
        <x:v>50</x:v>
      </x:c>
      <x:c r="J190" s="7" t="n">
        <x:v>71</x:v>
      </x:c>
      <x:c r="K190" s="7" t="n">
        <x:v>59</x:v>
      </x:c>
      <x:c r="L190" s="8" t="inlineStr">
        <x:is>
          <x:t xml:space="preserve">UNTESTED</x:t>
        </x:is>
      </x:c>
      <x:c r="M190" s="9" t="inlineStr">
        <x:is>
          <x:t xml:space="preserve">UNTESTED</x:t>
        </x:is>
      </x:c>
      <x:c r="N190" s="5" t="inlineStr">
        <x:is>
          <x:t xml:space="preserve">creative ideation; story structure; tone control; character design</x:t>
        </x:is>
      </x:c>
      <x:c r="O190" s="5" t="inlineStr">
        <x:is>
          <x:t xml:space="preserve">Low</x:t>
        </x:is>
      </x:c>
      <x:c r="P190" s="5" t="inlineStr">
        <x:is>
          <x:t xml:space="preserve">Medium</x:t>
        </x:is>
      </x:c>
      <x:c r="Q190" s="5" t="inlineStr">
        <x:is>
          <x:t xml:space="preserve">Low</x:t>
        </x:is>
      </x:c>
      <x:c r="R190" s="5" t="inlineStr">
        <x:is>
          <x:t xml:space="preserve">Low</x:t>
        </x:is>
      </x:c>
      <x:c r="S190" s="5" t="inlineStr">
        <x:is>
          <x:t xml:space="preserve">Low</x:t>
        </x:is>
      </x:c>
      <x:c r="T190" s="5" t="inlineStr">
        <x:is>
          <x:t xml:space="preserve">ChatGPT or Claude creative mode</x:t>
        </x:is>
      </x:c>
      <x:c r="U190" s="5" t="inlineStr">
        <x:is>
          <x:t xml:space="preserve">Easy</x:t>
        </x:is>
      </x:c>
      <x:c r="V190" s="10" t="n">
        <x:v>1</x:v>
      </x:c>
      <x:c r="W190" s="5" t="inlineStr">
        <x:is>
          <x:t xml:space="preserve">Creative prompt run + human taste review</x:t>
        </x:is>
      </x:c>
      <x:c r="X190" s="5" t="inlineStr">
        <x:is>
          <x:t xml:space="preserve">logline / outline / scene rewrite / treatment</x:t>
        </x:is>
      </x:c>
      <x:c r="Y190" s="5" t="inlineStr">
        <x:is>
          <x:t xml:space="preserve">Story work feels coherent, original, and emotionally alive.</x:t>
        </x:is>
      </x:c>
      <x:c r="Z190" s="5" t="inlineStr">
        <x:is>
          <x:t xml:space="preserve">Cliche ideas, flat dialogue, weak stakes, or no tonal discipline.</x:t>
        </x:is>
      </x:c>
      <x:c r="AA190" s="5" t="inlineStr">
        <x:is>
          <x:t xml:space="preserve">creative mode / style packs / development workflow</x:t>
        </x:is>
      </x:c>
      <x:c r="AB190" s="5" t="inlineStr">
        <x:is>
          <x:t xml:space="preserve"/>
        </x:is>
      </x:c>
      <x:c r="AC190" s="5" t="inlineStr">
        <x:is>
          <x:t xml:space="preserve">OpenAI practical guidance includes creative ideation; creator surveys show broad use of generative AI in creative workflows.</x:t>
        </x:is>
      </x:c>
      <x:c r="AD190" s="5" t="inlineStr">
        <x:is>
          <x:t xml:space="preserve">OpenAI How People Use ChatGPT paper; Adobe creators survey 2025; Wondercraft/Digiday creator workflow survey 2025</x:t>
        </x:is>
      </x:c>
      <x:c r="AE190" s="11">
        <x:f>IF(O190="High",20,IF(O190="Medium",10,IF(O190="Low",5,0)))+IF(P190="High",20,IF(P190="Medium",10,IF(P190="Low",5,0)))+IF(Q190="High",20,IF(Q190="Medium",10,IF(Q190="Low",5,0)))+IF(R190="High",20,IF(R190="Medium",10,IF(R190="Low",5,0)))+IF(S190="High",20,IF(S190="Medium",10,IF(S190="Low",5,0)))</x:f>
        <x:v>30</x:v>
      </x:c>
      <x:c r="AF190" s="12">
        <x:f>ROUND(H190*0.30+J190*0.25+K190*0.20+(100-AE190)*0.10+(100-(V190*20))*0.15,0)</x:f>
        <x:v>64</x:v>
      </x:c>
      <x:c r="AG190" s="13" t="str">
        <x:f>IF(AF190&gt;=80,"Batch 1",IF(AF190&gt;=70,"Batch 2",IF(AF190&gt;=60,"Batch 3","Backlog")))</x:f>
        <x:v>Batch 3</x:v>
      </x:c>
      <x:c r="AH190" t="inlineStr">
        <x:is>
          <x:t xml:space="preserve"/>
        </x:is>
      </x:c>
    </x:row>
    <x:row r="191">
      <x:c r="A191" s="5" t="inlineStr">
        <x:is>
          <x:t xml:space="preserve">GPO-PER-13</x:t>
        </x:is>
      </x:c>
      <x:c r="B191" s="5" t="n">
        <x:v>187</x:v>
      </x:c>
      <x:c r="C191" s="5" t="inlineStr">
        <x:is>
          <x:t xml:space="preserve">Personal Finance &amp; Investing</x:t>
        </x:is>
      </x:c>
      <x:c r="D191" s="5" t="inlineStr">
        <x:is>
          <x:t xml:space="preserve">Money</x:t>
        </x:is>
      </x:c>
      <x:c r="E191" s="5" t="inlineStr">
        <x:is>
          <x:t xml:space="preserve">Expansion 150</x:t>
        </x:is>
      </x:c>
      <x:c r="F191" s="5" t="n">
        <x:v>13</x:v>
      </x:c>
      <x:c r="G191" s="5" t="inlineStr">
        <x:is>
          <x:t xml:space="preserve">Create a savings/investment roadmap for a house, wedding, or family goal.</x:t>
        </x:is>
      </x:c>
      <x:c r="H191" s="6" t="n">
        <x:v>52</x:v>
      </x:c>
      <x:c r="I191" s="6" t="n">
        <x:v>52</x:v>
      </x:c>
      <x:c r="J191" s="7" t="n">
        <x:v>68</x:v>
      </x:c>
      <x:c r="K191" s="7" t="n">
        <x:v>59</x:v>
      </x:c>
      <x:c r="L191" s="8" t="inlineStr">
        <x:is>
          <x:t xml:space="preserve">UNTESTED</x:t>
        </x:is>
      </x:c>
      <x:c r="M191" s="9" t="inlineStr">
        <x:is>
          <x:t xml:space="preserve">UNTESTED</x:t>
        </x:is>
      </x:c>
      <x:c r="N191" s="5" t="inlineStr">
        <x:is>
          <x:t xml:space="preserve">scenario modeling; budgeting; portfolio reasoning; decision framing</x:t>
        </x:is>
      </x:c>
      <x:c r="O191" s="5" t="inlineStr">
        <x:is>
          <x:t xml:space="preserve">Medium</x:t>
        </x:is>
      </x:c>
      <x:c r="P191" s="5" t="inlineStr">
        <x:is>
          <x:t xml:space="preserve">High</x:t>
        </x:is>
      </x:c>
      <x:c r="Q191" s="5" t="inlineStr">
        <x:is>
          <x:t xml:space="preserve">Medium</x:t>
        </x:is>
      </x:c>
      <x:c r="R191" s="5" t="inlineStr">
        <x:is>
          <x:t xml:space="preserve">Low</x:t>
        </x:is>
      </x:c>
      <x:c r="S191" s="5" t="inlineStr">
        <x:is>
          <x:t xml:space="preserve">Medium</x:t>
        </x:is>
      </x:c>
      <x:c r="T191" s="5" t="inlineStr">
        <x:is>
          <x:t xml:space="preserve">ChatGPT or Claude with spreadsheet support</x:t>
        </x:is>
      </x:c>
      <x:c r="U191" s="5" t="inlineStr">
        <x:is>
          <x:t xml:space="preserve">Medium</x:t>
        </x:is>
      </x:c>
      <x:c r="V191" s="10" t="n">
        <x:v>2</x:v>
      </x:c>
      <x:c r="W191" s="5" t="inlineStr">
        <x:is>
          <x:t xml:space="preserve">Scenario modeling + coherence review</x:t>
        </x:is>
      </x:c>
      <x:c r="X191" s="5" t="inlineStr">
        <x:is>
          <x:t xml:space="preserve">budget / model / plan / recommendation</x:t>
        </x:is>
      </x:c>
      <x:c r="Y191" s="5" t="inlineStr">
        <x:is>
          <x:t xml:space="preserve">Advice is numerically coherent, practical, and transparent about assumptions.</x:t>
        </x:is>
      </x:c>
      <x:c r="Z191" s="5" t="inlineStr">
        <x:is>
          <x:t xml:space="preserve">Bad math, missing assumptions, or overconfident investment guidance.</x:t>
        </x:is>
      </x:c>
      <x:c r="AA191" s="5" t="inlineStr">
        <x:is>
          <x:t xml:space="preserve">financial calculator / assumption schema / spreadsheet outputs</x:t>
        </x:is>
      </x:c>
      <x:c r="AB191" s="5" t="inlineStr">
        <x:is>
          <x:t xml:space="preserve"/>
        </x:is>
      </x:c>
      <x:c r="AC191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191" s="5" t="inlineStr">
        <x:is>
          <x:t xml:space="preserve">FNBO Financial Wellbeing Study 2025; NerdWallet/Harris Poll 2026; PlanAdviser 2026</x:t>
        </x:is>
      </x:c>
      <x:c r="AE191" s="11">
        <x:f>IF(O191="High",20,IF(O191="Medium",10,IF(O191="Low",5,0)))+IF(P191="High",20,IF(P191="Medium",10,IF(P191="Low",5,0)))+IF(Q191="High",20,IF(Q191="Medium",10,IF(Q191="Low",5,0)))+IF(R191="High",20,IF(R191="Medium",10,IF(R191="Low",5,0)))+IF(S191="High",20,IF(S191="Medium",10,IF(S191="Low",5,0)))</x:f>
        <x:v>55</x:v>
      </x:c>
      <x:c r="AF191" s="12">
        <x:f>ROUND(H191*0.30+J191*0.25+K191*0.20+(100-AE191)*0.10+(100-(V191*20))*0.15,0)</x:f>
        <x:v>58</x:v>
      </x:c>
      <x:c r="AG191" s="13" t="str">
        <x:f>IF(AF191&gt;=80,"Batch 1",IF(AF191&gt;=70,"Batch 2",IF(AF191&gt;=60,"Batch 3","Backlog")))</x:f>
        <x:v>Backlog</x:v>
      </x:c>
      <x:c r="AH191" t="inlineStr">
        <x:is>
          <x:t xml:space="preserve"/>
        </x:is>
      </x:c>
    </x:row>
    <x:row r="192">
      <x:c r="A192" s="5" t="inlineStr">
        <x:is>
          <x:t xml:space="preserve">GPO-SCH-19</x:t>
        </x:is>
      </x:c>
      <x:c r="B192" s="5" t="n">
        <x:v>188</x:v>
      </x:c>
      <x:c r="C192" s="5" t="inlineStr">
        <x:is>
          <x:t xml:space="preserve">Scheduling &amp; Life Operations</x:t>
        </x:is>
      </x:c>
      <x:c r="D192" s="5" t="inlineStr">
        <x:is>
          <x:t xml:space="preserve">Operate</x:t>
        </x:is>
      </x:c>
      <x:c r="E192" s="5" t="inlineStr">
        <x:is>
          <x:t xml:space="preserve">Expansion 150</x:t>
        </x:is>
      </x:c>
      <x:c r="F192" s="5" t="n">
        <x:v>19</x:v>
      </x:c>
      <x:c r="G192" s="5" t="inlineStr">
        <x:is>
          <x:t xml:space="preserve">Build an operating cadence for a startup/team/person so nothing mission-critical slips.</x:t>
        </x:is>
      </x:c>
      <x:c r="H192" s="6" t="n">
        <x:v>49</x:v>
      </x:c>
      <x:c r="I192" s="6" t="n">
        <x:v>49</x:v>
      </x:c>
      <x:c r="J192" s="7" t="n">
        <x:v>72</x:v>
      </x:c>
      <x:c r="K192" s="7" t="n">
        <x:v>59</x:v>
      </x:c>
      <x:c r="L192" s="8" t="inlineStr">
        <x:is>
          <x:t xml:space="preserve">UNTESTED</x:t>
        </x:is>
      </x:c>
      <x:c r="M192" s="9" t="inlineStr">
        <x:is>
          <x:t xml:space="preserve">UNTESTED</x:t>
        </x:is>
      </x:c>
      <x:c r="N192" s="5" t="inlineStr">
        <x:is>
          <x:t xml:space="preserve">task planning; prioritization; calendar reasoning; personal constraints handling</x:t>
        </x:is>
      </x:c>
      <x:c r="O192" s="5" t="inlineStr">
        <x:is>
          <x:t xml:space="preserve">Low</x:t>
        </x:is>
      </x:c>
      <x:c r="P192" s="5" t="inlineStr">
        <x:is>
          <x:t xml:space="preserve">High</x:t>
        </x:is>
      </x:c>
      <x:c r="Q192" s="5" t="inlineStr">
        <x:is>
          <x:t xml:space="preserve">Medium</x:t>
        </x:is>
      </x:c>
      <x:c r="R192" s="5" t="inlineStr">
        <x:is>
          <x:t xml:space="preserve">Low</x:t>
        </x:is>
      </x:c>
      <x:c r="S192" s="5" t="inlineStr">
        <x:is>
          <x:t xml:space="preserve">Low</x:t>
        </x:is>
      </x:c>
      <x:c r="T192" s="5" t="inlineStr">
        <x:is>
          <x:t xml:space="preserve">ChatGPT primary; calendar integrations later</x:t>
        </x:is>
      </x:c>
      <x:c r="U192" s="5" t="inlineStr">
        <x:is>
          <x:t xml:space="preserve">Easy</x:t>
        </x:is>
      </x:c>
      <x:c r="V192" s="10" t="n">
        <x:v>1</x:v>
      </x:c>
      <x:c r="W192" s="5" t="inlineStr">
        <x:is>
          <x:t xml:space="preserve">Scenario-based planning + operator utility review</x:t>
        </x:is>
      </x:c>
      <x:c r="X192" s="5" t="inlineStr">
        <x:is>
          <x:t xml:space="preserve">schedule / checklist / operating plan</x:t>
        </x:is>
      </x:c>
      <x:c r="Y192" s="5" t="inlineStr">
        <x:is>
          <x:t xml:space="preserve">Plan is realistic, prioritized, and executable under stated constraints.</x:t>
        </x:is>
      </x:c>
      <x:c r="Z192" s="5" t="inlineStr">
        <x:is>
          <x:t xml:space="preserve">Overpacked schedule, ignored constraints, or vague next steps.</x:t>
        </x:is>
      </x:c>
      <x:c r="AA192" s="5" t="inlineStr">
        <x:is>
          <x:t xml:space="preserve">planner engine / memory / calendar-tool integration</x:t>
        </x:is>
      </x:c>
      <x:c r="AB192" s="5" t="inlineStr">
        <x:is>
          <x:t xml:space="preserve"/>
        </x:is>
      </x:c>
      <x:c r="AC192" s="5" t="inlineStr">
        <x:is>
          <x:t xml:space="preserve">Menlo consumer AI: 18% use AI to manage to-do lists and 15% to organize notes; Zao-Sanders ranked 'Organise my life' #2.</x:t>
        </x:is>
      </x:c>
      <x:c r="AD192" s="5" t="inlineStr">
        <x:is>
          <x:t xml:space="preserve">Menlo State of Consumer AI 2025; Zao-Sanders Top-100 GenAI Use Cases 2025</x:t>
        </x:is>
      </x:c>
      <x:c r="AE192" s="11">
        <x:f>IF(O192="High",20,IF(O192="Medium",10,IF(O192="Low",5,0)))+IF(P192="High",20,IF(P192="Medium",10,IF(P192="Low",5,0)))+IF(Q192="High",20,IF(Q192="Medium",10,IF(Q192="Low",5,0)))+IF(R192="High",20,IF(R192="Medium",10,IF(R192="Low",5,0)))+IF(S192="High",20,IF(S192="Medium",10,IF(S192="Low",5,0)))</x:f>
        <x:v>45</x:v>
      </x:c>
      <x:c r="AF192" s="12">
        <x:f>ROUND(H192*0.30+J192*0.25+K192*0.20+(100-AE192)*0.10+(100-(V192*20))*0.15,0)</x:f>
        <x:v>62</x:v>
      </x:c>
      <x:c r="AG192" s="13" t="str">
        <x:f>IF(AF192&gt;=80,"Batch 1",IF(AF192&gt;=70,"Batch 2",IF(AF192&gt;=60,"Batch 3","Backlog")))</x:f>
        <x:v>Batch 3</x:v>
      </x:c>
      <x:c r="AH192" t="inlineStr">
        <x:is>
          <x:t xml:space="preserve"/>
        </x:is>
      </x:c>
    </x:row>
    <x:row r="193">
      <x:c r="A193" s="5" t="inlineStr">
        <x:is>
          <x:t xml:space="preserve">GPO-SHO-17</x:t>
        </x:is>
      </x:c>
      <x:c r="B193" s="5" t="n">
        <x:v>189</x:v>
      </x:c>
      <x:c r="C193" s="5" t="inlineStr">
        <x:is>
          <x:t xml:space="preserve">Shopping &amp; Buying Advisor</x:t>
        </x:is>
      </x:c>
      <x:c r="D193" s="5" t="inlineStr">
        <x:is>
          <x:t xml:space="preserve">Buy</x:t>
        </x:is>
      </x:c>
      <x:c r="E193" s="5" t="inlineStr">
        <x:is>
          <x:t xml:space="preserve">Expansion 150</x:t>
        </x:is>
      </x:c>
      <x:c r="F193" s="5" t="n">
        <x:v>17</x:v>
      </x:c>
      <x:c r="G193" s="5" t="inlineStr">
        <x:is>
          <x:t xml:space="preserve">Find substitutes or alternatives if the best option is out of stock or overpriced.</x:t>
        </x:is>
      </x:c>
      <x:c r="H193" s="6" t="n">
        <x:v>49</x:v>
      </x:c>
      <x:c r="I193" s="6" t="n">
        <x:v>49</x:v>
      </x:c>
      <x:c r="J193" s="7" t="n">
        <x:v>72</x:v>
      </x:c>
      <x:c r="K193" s="7" t="n">
        <x:v>59</x:v>
      </x:c>
      <x:c r="L193" s="8" t="inlineStr">
        <x:is>
          <x:t xml:space="preserve">UNTESTED</x:t>
        </x:is>
      </x:c>
      <x:c r="M193" s="9" t="inlineStr">
        <x:is>
          <x:t xml:space="preserve">UNTESTED</x:t>
        </x:is>
      </x:c>
      <x:c r="N193" s="5" t="inlineStr">
        <x:is>
          <x:t xml:space="preserve">web/product research; comparison; price-value reasoning; shortlist generation</x:t>
        </x:is>
      </x:c>
      <x:c r="O193" s="5" t="inlineStr">
        <x:is>
          <x:t xml:space="preserve">High</x:t>
        </x:is>
      </x:c>
      <x:c r="P193" s="5" t="inlineStr">
        <x:is>
          <x:t xml:space="preserve">Medium</x:t>
        </x:is>
      </x:c>
      <x:c r="Q193" s="5" t="inlineStr">
        <x:is>
          <x:t xml:space="preserve">Medium</x:t>
        </x:is>
      </x:c>
      <x:c r="R193" s="5" t="inlineStr">
        <x:is>
          <x:t xml:space="preserve">Low</x:t>
        </x:is>
      </x:c>
      <x:c r="S193" s="5" t="inlineStr">
        <x:is>
          <x:t xml:space="preserve">Low</x:t>
        </x:is>
      </x:c>
      <x:c r="T193" s="5" t="inlineStr">
        <x:is>
          <x:t xml:space="preserve">ChatGPT with web</x:t>
        </x:is>
      </x:c>
      <x:c r="U193" s="5" t="inlineStr">
        <x:is>
          <x:t xml:space="preserve">Easy</x:t>
        </x:is>
      </x:c>
      <x:c r="V193" s="10" t="n">
        <x:v>1</x:v>
      </x:c>
      <x:c r="W193" s="5" t="inlineStr">
        <x:is>
          <x:t xml:space="preserve">Live shopping query + recommendation validation</x:t>
        </x:is>
      </x:c>
      <x:c r="X193" s="5" t="inlineStr">
        <x:is>
          <x:t xml:space="preserve">shortlist / recommendation / comparison / cart plan</x:t>
        </x:is>
      </x:c>
      <x:c r="Y193" s="5" t="inlineStr">
        <x:is>
          <x:t xml:space="preserve">Recommendation fits constraints and explains tradeoffs clearly.</x:t>
        </x:is>
      </x:c>
      <x:c r="Z193" s="5" t="inlineStr">
        <x:is>
          <x:t xml:space="preserve">Outdated products, poor fit, missed constraints, or shallow comparison.</x:t>
        </x:is>
      </x:c>
      <x:c r="AA193" s="5" t="inlineStr">
        <x:is>
          <x:t xml:space="preserve">web/product retrieval / comparison template / user preference memory</x:t>
        </x:is>
      </x:c>
      <x:c r="AB193" s="5" t="inlineStr">
        <x:is>
          <x:t xml:space="preserve"/>
        </x:is>
      </x:c>
      <x:c r="AC193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193" s="5" t="inlineStr">
        <x:is>
          <x:t xml:space="preserve">Deloitte Connected Consumer 2025; Salesforce Connected Shopper 2025; IAB 2025 shopping study</x:t>
        </x:is>
      </x:c>
      <x:c r="AE193" s="11">
        <x:f>IF(O193="High",20,IF(O193="Medium",10,IF(O193="Low",5,0)))+IF(P193="High",20,IF(P193="Medium",10,IF(P193="Low",5,0)))+IF(Q193="High",20,IF(Q193="Medium",10,IF(Q193="Low",5,0)))+IF(R193="High",20,IF(R193="Medium",10,IF(R193="Low",5,0)))+IF(S193="High",20,IF(S193="Medium",10,IF(S193="Low",5,0)))</x:f>
        <x:v>50</x:v>
      </x:c>
      <x:c r="AF193" s="12">
        <x:f>ROUND(H193*0.30+J193*0.25+K193*0.20+(100-AE193)*0.10+(100-(V193*20))*0.15,0)</x:f>
        <x:v>62</x:v>
      </x:c>
      <x:c r="AG193" s="13" t="str">
        <x:f>IF(AF193&gt;=80,"Batch 1",IF(AF193&gt;=70,"Batch 2",IF(AF193&gt;=60,"Batch 3","Backlog")))</x:f>
        <x:v>Batch 3</x:v>
      </x:c>
      <x:c r="AH193" t="inlineStr">
        <x:is>
          <x:t xml:space="preserve"/>
        </x:is>
      </x:c>
    </x:row>
    <x:row r="194">
      <x:c r="A194" s="5" t="inlineStr">
        <x:is>
          <x:t xml:space="preserve">GPO-HEA-10</x:t>
        </x:is>
      </x:c>
      <x:c r="B194" s="5" t="n">
        <x:v>190</x:v>
      </x:c>
      <x:c r="C194" s="5" t="inlineStr">
        <x:is>
          <x:t xml:space="preserve">Health &amp; Wellness Coach</x:t>
        </x:is>
      </x:c>
      <x:c r="D194" s="5" t="inlineStr">
        <x:is>
          <x:t xml:space="preserve">Care</x:t>
        </x:is>
      </x:c>
      <x:c r="E194" s="5" t="inlineStr">
        <x:is>
          <x:t xml:space="preserve">Core 150</x:t>
        </x:is>
      </x:c>
      <x:c r="F194" s="5" t="n">
        <x:v>10</x:v>
      </x:c>
      <x:c r="G194" s="5" t="inlineStr">
        <x:is>
          <x:t xml:space="preserve">Explain the pros, cons, and evidence behind this supplement.</x:t>
        </x:is>
      </x:c>
      <x:c r="H194" s="6" t="n">
        <x:v>61</x:v>
      </x:c>
      <x:c r="I194" s="6" t="n">
        <x:v>61</x:v>
      </x:c>
      <x:c r="J194" s="7" t="n">
        <x:v>55</x:v>
      </x:c>
      <x:c r="K194" s="7" t="n">
        <x:v>58</x:v>
      </x:c>
      <x:c r="L194" s="8" t="inlineStr">
        <x:is>
          <x:t xml:space="preserve">UNTESTED</x:t>
        </x:is>
      </x:c>
      <x:c r="M194" s="9" t="inlineStr">
        <x:is>
          <x:t xml:space="preserve">UNTESTED</x:t>
        </x:is>
      </x:c>
      <x:c r="N194" s="5" t="inlineStr">
        <x:is>
          <x:t xml:space="preserve">health explanation; risk framing; behavior coaching; careful disclaimer handling</x:t>
        </x:is>
      </x:c>
      <x:c r="O194" s="5" t="inlineStr">
        <x:is>
          <x:t xml:space="preserve">Medium</x:t>
        </x:is>
      </x:c>
      <x:c r="P194" s="5" t="inlineStr">
        <x:is>
          <x:t xml:space="preserve">High</x:t>
        </x:is>
      </x:c>
      <x:c r="Q194" s="5" t="inlineStr">
        <x:is>
          <x:t xml:space="preserve">Low</x:t>
        </x:is>
      </x:c>
      <x:c r="R194" s="5" t="inlineStr">
        <x:is>
          <x:t xml:space="preserve">Low</x:t>
        </x:is>
      </x:c>
      <x:c r="S194" s="5" t="inlineStr">
        <x:is>
          <x:t xml:space="preserve">Medium</x:t>
        </x:is>
      </x:c>
      <x:c r="T194" s="5" t="inlineStr">
        <x:is>
          <x:t xml:space="preserve">ChatGPT primary with careful guardrails</x:t>
        </x:is>
      </x:c>
      <x:c r="U194" s="5" t="inlineStr">
        <x:is>
          <x:t xml:space="preserve">Medium</x:t>
        </x:is>
      </x:c>
      <x:c r="V194" s="10" t="n">
        <x:v>2</x:v>
      </x:c>
      <x:c r="W194" s="5" t="inlineStr">
        <x:is>
          <x:t xml:space="preserve">Scenario prompts + safety review + usefulness review</x:t>
        </x:is>
      </x:c>
      <x:c r="X194" s="5" t="inlineStr">
        <x:is>
          <x:t xml:space="preserve">plan / explanation / checklist / prep brief</x:t>
        </x:is>
      </x:c>
      <x:c r="Y194" s="5" t="inlineStr">
        <x:is>
          <x:t xml:space="preserve">Useful, cautious, practical guidance that stays within safe boundaries.</x:t>
        </x:is>
      </x:c>
      <x:c r="Z194" s="5" t="inlineStr">
        <x:is>
          <x:t xml:space="preserve">Overconfident medical claims, weak escalation guidance, or unsafe advice.</x:t>
        </x:is>
      </x:c>
      <x:c r="AA194" s="5" t="inlineStr">
        <x:is>
          <x:t xml:space="preserve">safety layer / health mode / evidence grounding</x:t>
        </x:is>
      </x:c>
      <x:c r="AB194" s="5" t="inlineStr">
        <x:is>
          <x:t xml:space="preserve"/>
        </x:is>
      </x:c>
      <x:c r="AC194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194" s="5" t="inlineStr">
        <x:is>
          <x:t xml:space="preserve">OpenAI Introducing GPT-5; APPC 2025 health survey; Deloitte Connected Consumer 2025</x:t>
        </x:is>
      </x:c>
      <x:c r="AE194" s="11">
        <x:f>IF(O194="High",20,IF(O194="Medium",10,IF(O194="Low",5,0)))+IF(P194="High",20,IF(P194="Medium",10,IF(P194="Low",5,0)))+IF(Q194="High",20,IF(Q194="Medium",10,IF(Q194="Low",5,0)))+IF(R194="High",20,IF(R194="Medium",10,IF(R194="Low",5,0)))+IF(S194="High",20,IF(S194="Medium",10,IF(S194="Low",5,0)))</x:f>
        <x:v>50</x:v>
      </x:c>
      <x:c r="AF194" s="12">
        <x:f>ROUND(H194*0.30+J194*0.25+K194*0.20+(100-AE194)*0.10+(100-(V194*20))*0.15,0)</x:f>
        <x:v>58</x:v>
      </x:c>
      <x:c r="AG194" s="13" t="str">
        <x:f>IF(AF194&gt;=80,"Batch 1",IF(AF194&gt;=70,"Batch 2",IF(AF194&gt;=60,"Batch 3","Backlog")))</x:f>
        <x:v>Backlog</x:v>
      </x:c>
      <x:c r="AH194" t="inlineStr">
        <x:is>
          <x:t xml:space="preserve"/>
        </x:is>
      </x:c>
    </x:row>
    <x:row r="195">
      <x:c r="A195" s="5" t="inlineStr">
        <x:is>
          <x:t xml:space="preserve">GPO-STA-13</x:t>
        </x:is>
      </x:c>
      <x:c r="B195" s="5" t="n">
        <x:v>191</x:v>
      </x:c>
      <x:c r="C195" s="5" t="inlineStr">
        <x:is>
          <x:t xml:space="preserve">Startup &amp; Business Builder</x:t>
        </x:is>
      </x:c>
      <x:c r="D195" s="5" t="inlineStr">
        <x:is>
          <x:t xml:space="preserve">Build</x:t>
        </x:is>
      </x:c>
      <x:c r="E195" s="5" t="inlineStr">
        <x:is>
          <x:t xml:space="preserve">Expansion 150</x:t>
        </x:is>
      </x:c>
      <x:c r="F195" s="5" t="n">
        <x:v>13</x:v>
      </x:c>
      <x:c r="G195" s="5" t="inlineStr">
        <x:is>
          <x:t xml:space="preserve">Design a privacy-first product and trust narrative for {business}.</x:t>
        </x:is>
      </x:c>
      <x:c r="H195" s="6" t="n">
        <x:v>50</x:v>
      </x:c>
      <x:c r="I195" s="6" t="n">
        <x:v>50</x:v>
      </x:c>
      <x:c r="J195" s="7" t="n">
        <x:v>70</x:v>
      </x:c>
      <x:c r="K195" s="7" t="n">
        <x:v>59</x:v>
      </x:c>
      <x:c r="L195" s="8" t="inlineStr">
        <x:is>
          <x:t xml:space="preserve">UNTESTED</x:t>
        </x:is>
      </x:c>
      <x:c r="M195" s="9" t="inlineStr">
        <x:is>
          <x:t xml:space="preserve">UNTESTED</x:t>
        </x:is>
      </x:c>
      <x:c r="N195" s="5" t="inlineStr">
        <x:is>
          <x:t xml:space="preserve">strategy; product thinking; GTM reasoning; structured planning</x:t>
        </x:is>
      </x:c>
      <x:c r="O195" s="5" t="inlineStr">
        <x:is>
          <x:t xml:space="preserve">Medium</x:t>
        </x:is>
      </x:c>
      <x:c r="P195" s="5" t="inlineStr">
        <x:is>
          <x:t xml:space="preserve">High</x:t>
        </x:is>
      </x:c>
      <x:c r="Q195" s="5" t="inlineStr">
        <x:is>
          <x:t xml:space="preserve">Low</x:t>
        </x:is>
      </x:c>
      <x:c r="R195" s="5" t="inlineStr">
        <x:is>
          <x:t xml:space="preserve">Medium</x:t>
        </x:is>
      </x:c>
      <x:c r="S195" s="5" t="inlineStr">
        <x:is>
          <x:t xml:space="preserve">Low</x:t>
        </x:is>
      </x:c>
      <x:c r="T195" s="5" t="inlineStr">
        <x:is>
          <x:t xml:space="preserve">Claude + ChatGPT combo</x:t>
        </x:is>
      </x:c>
      <x:c r="U195" s="5" t="inlineStr">
        <x:is>
          <x:t xml:space="preserve">Medium</x:t>
        </x:is>
      </x:c>
      <x:c r="V195" s="10" t="n">
        <x:v>2</x:v>
      </x:c>
      <x:c r="W195" s="5" t="inlineStr">
        <x:is>
          <x:t xml:space="preserve">Plan generation + critique + strategic review</x:t>
        </x:is>
      </x:c>
      <x:c r="X195" s="5" t="inlineStr">
        <x:is>
          <x:t xml:space="preserve">roadmap / GTM plan / business memo</x:t>
        </x:is>
      </x:c>
      <x:c r="Y195" s="5" t="inlineStr">
        <x:is>
          <x:t xml:space="preserve">Recommendation is strategically sharp, prioritized, and grounded in market reality.</x:t>
        </x:is>
      </x:c>
      <x:c r="Z195" s="5" t="inlineStr">
        <x:is>
          <x:t xml:space="preserve">Buzzwordy output, no wedge, weak prioritization, or unearned confidence.</x:t>
        </x:is>
      </x:c>
      <x:c r="AA195" s="5" t="inlineStr">
        <x:is>
          <x:t xml:space="preserve">strategy templates / board logic / critique loop</x:t>
        </x:is>
      </x:c>
      <x:c r="AB195" s="5" t="inlineStr">
        <x:is>
          <x:t xml:space="preserve"/>
        </x:is>
      </x:c>
      <x:c r="AC19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195" s="5" t="inlineStr">
        <x:is>
          <x:t xml:space="preserve">OpenAI How People Use ChatGPT paper; Menlo State of Consumer AI 2025; Menlo AI UI Problem 2025</x:t>
        </x:is>
      </x:c>
      <x:c r="AE195" s="11">
        <x:f>IF(O195="High",20,IF(O195="Medium",10,IF(O195="Low",5,0)))+IF(P195="High",20,IF(P195="Medium",10,IF(P195="Low",5,0)))+IF(Q195="High",20,IF(Q195="Medium",10,IF(Q195="Low",5,0)))+IF(R195="High",20,IF(R195="Medium",10,IF(R195="Low",5,0)))+IF(S195="High",20,IF(S195="Medium",10,IF(S195="Low",5,0)))</x:f>
        <x:v>50</x:v>
      </x:c>
      <x:c r="AF195" s="12">
        <x:f>ROUND(H195*0.30+J195*0.25+K195*0.20+(100-AE195)*0.10+(100-(V195*20))*0.15,0)</x:f>
        <x:v>58</x:v>
      </x:c>
      <x:c r="AG195" s="13" t="str">
        <x:f>IF(AF195&gt;=80,"Batch 1",IF(AF195&gt;=70,"Batch 2",IF(AF195&gt;=60,"Batch 3","Backlog")))</x:f>
        <x:v>Backlog</x:v>
      </x:c>
      <x:c r="AH195" t="inlineStr">
        <x:is>
          <x:t xml:space="preserve"/>
        </x:is>
      </x:c>
    </x:row>
    <x:row r="196">
      <x:c r="A196" s="5" t="inlineStr">
        <x:is>
          <x:t xml:space="preserve">GPO-SCR-09</x:t>
        </x:is>
      </x:c>
      <x:c r="B196" s="5" t="n">
        <x:v>192</x:v>
      </x:c>
      <x:c r="C196" s="5" t="inlineStr">
        <x:is>
          <x:t xml:space="preserve">Screenwriting &amp; Story Development</x:t>
        </x:is>
      </x:c>
      <x:c r="D196" s="5" t="inlineStr">
        <x:is>
          <x:t xml:space="preserve">Create</x:t>
        </x:is>
      </x:c>
      <x:c r="E196" s="5" t="inlineStr">
        <x:is>
          <x:t xml:space="preserve">Core 150</x:t>
        </x:is>
      </x:c>
      <x:c r="F196" s="5" t="n">
        <x:v>9</x:v>
      </x:c>
      <x:c r="G196" s="5" t="inlineStr">
        <x:is>
          <x:t xml:space="preserve">Create a writers-room style season arc for this series concept.</x:t>
        </x:is>
      </x:c>
      <x:c r="H196" s="6" t="n">
        <x:v>49</x:v>
      </x:c>
      <x:c r="I196" s="6" t="n">
        <x:v>49</x:v>
      </x:c>
      <x:c r="J196" s="7" t="n">
        <x:v>71</x:v>
      </x:c>
      <x:c r="K196" s="7" t="n">
        <x:v>59</x:v>
      </x:c>
      <x:c r="L196" s="8" t="inlineStr">
        <x:is>
          <x:t xml:space="preserve">UNTESTED</x:t>
        </x:is>
      </x:c>
      <x:c r="M196" s="9" t="inlineStr">
        <x:is>
          <x:t xml:space="preserve">UNTESTED</x:t>
        </x:is>
      </x:c>
      <x:c r="N196" s="5" t="inlineStr">
        <x:is>
          <x:t xml:space="preserve">creative ideation; story structure; tone control; character design</x:t>
        </x:is>
      </x:c>
      <x:c r="O196" s="5" t="inlineStr">
        <x:is>
          <x:t xml:space="preserve">Low</x:t>
        </x:is>
      </x:c>
      <x:c r="P196" s="5" t="inlineStr">
        <x:is>
          <x:t xml:space="preserve">Medium</x:t>
        </x:is>
      </x:c>
      <x:c r="Q196" s="5" t="inlineStr">
        <x:is>
          <x:t xml:space="preserve">Low</x:t>
        </x:is>
      </x:c>
      <x:c r="R196" s="5" t="inlineStr">
        <x:is>
          <x:t xml:space="preserve">Low</x:t>
        </x:is>
      </x:c>
      <x:c r="S196" s="5" t="inlineStr">
        <x:is>
          <x:t xml:space="preserve">Low</x:t>
        </x:is>
      </x:c>
      <x:c r="T196" s="5" t="inlineStr">
        <x:is>
          <x:t xml:space="preserve">ChatGPT or Claude creative mode</x:t>
        </x:is>
      </x:c>
      <x:c r="U196" s="5" t="inlineStr">
        <x:is>
          <x:t xml:space="preserve">Easy</x:t>
        </x:is>
      </x:c>
      <x:c r="V196" s="10" t="n">
        <x:v>1</x:v>
      </x:c>
      <x:c r="W196" s="5" t="inlineStr">
        <x:is>
          <x:t xml:space="preserve">Creative prompt run + human taste review</x:t>
        </x:is>
      </x:c>
      <x:c r="X196" s="5" t="inlineStr">
        <x:is>
          <x:t xml:space="preserve">logline / outline / scene rewrite / treatment</x:t>
        </x:is>
      </x:c>
      <x:c r="Y196" s="5" t="inlineStr">
        <x:is>
          <x:t xml:space="preserve">Story work feels coherent, original, and emotionally alive.</x:t>
        </x:is>
      </x:c>
      <x:c r="Z196" s="5" t="inlineStr">
        <x:is>
          <x:t xml:space="preserve">Cliche ideas, flat dialogue, weak stakes, or no tonal discipline.</x:t>
        </x:is>
      </x:c>
      <x:c r="AA196" s="5" t="inlineStr">
        <x:is>
          <x:t xml:space="preserve">creative mode / style packs / development workflow</x:t>
        </x:is>
      </x:c>
      <x:c r="AB196" s="5" t="inlineStr">
        <x:is>
          <x:t xml:space="preserve"/>
        </x:is>
      </x:c>
      <x:c r="AC196" s="5" t="inlineStr">
        <x:is>
          <x:t xml:space="preserve">OpenAI practical guidance includes creative ideation; creator surveys show broad use of generative AI in creative workflows.</x:t>
        </x:is>
      </x:c>
      <x:c r="AD196" s="5" t="inlineStr">
        <x:is>
          <x:t xml:space="preserve">OpenAI How People Use ChatGPT paper; Adobe creators survey 2025; Wondercraft/Digiday creator workflow survey 2025</x:t>
        </x:is>
      </x:c>
      <x:c r="AE196" s="11">
        <x:f>IF(O196="High",20,IF(O196="Medium",10,IF(O196="Low",5,0)))+IF(P196="High",20,IF(P196="Medium",10,IF(P196="Low",5,0)))+IF(Q196="High",20,IF(Q196="Medium",10,IF(Q196="Low",5,0)))+IF(R196="High",20,IF(R196="Medium",10,IF(R196="Low",5,0)))+IF(S196="High",20,IF(S196="Medium",10,IF(S196="Low",5,0)))</x:f>
        <x:v>30</x:v>
      </x:c>
      <x:c r="AF196" s="12">
        <x:f>ROUND(H196*0.30+J196*0.25+K196*0.20+(100-AE196)*0.10+(100-(V196*20))*0.15,0)</x:f>
        <x:v>63</x:v>
      </x:c>
      <x:c r="AG196" s="13" t="str">
        <x:f>IF(AF196&gt;=80,"Batch 1",IF(AF196&gt;=70,"Batch 2",IF(AF196&gt;=60,"Batch 3","Backlog")))</x:f>
        <x:v>Batch 3</x:v>
      </x:c>
      <x:c r="AH196" t="inlineStr">
        <x:is>
          <x:t xml:space="preserve"/>
        </x:is>
      </x:c>
    </x:row>
    <x:row r="197">
      <x:c r="A197" s="5" t="inlineStr">
        <x:is>
          <x:t xml:space="preserve">GPO-TRA-16</x:t>
        </x:is>
      </x:c>
      <x:c r="B197" s="5" t="n">
        <x:v>193</x:v>
      </x:c>
      <x:c r="C197" s="5" t="inlineStr">
        <x:is>
          <x:t xml:space="preserve">Travel &amp; Relocation Planner</x:t>
        </x:is>
      </x:c>
      <x:c r="D197" s="5" t="inlineStr">
        <x:is>
          <x:t xml:space="preserve">Move</x:t>
        </x:is>
      </x:c>
      <x:c r="E197" s="5" t="inlineStr">
        <x:is>
          <x:t xml:space="preserve">Expansion 150</x:t>
        </x:is>
      </x:c>
      <x:c r="F197" s="5" t="n">
        <x:v>16</x:v>
      </x:c>
      <x:c r="G197" s="5" t="inlineStr">
        <x:is>
          <x:t xml:space="preserve">Create a contingency plan for weather, delays, or missed connections on this trip.</x:t>
        </x:is>
      </x:c>
      <x:c r="H197" s="6" t="n">
        <x:v>49</x:v>
      </x:c>
      <x:c r="I197" s="6" t="n">
        <x:v>49</x:v>
      </x:c>
      <x:c r="J197" s="7" t="n">
        <x:v>71</x:v>
      </x:c>
      <x:c r="K197" s="7" t="n">
        <x:v>59</x:v>
      </x:c>
      <x:c r="L197" s="8" t="inlineStr">
        <x:is>
          <x:t xml:space="preserve">UNTESTED</x:t>
        </x:is>
      </x:c>
      <x:c r="M197" s="9" t="inlineStr">
        <x:is>
          <x:t xml:space="preserve">UNTESTED</x:t>
        </x:is>
      </x:c>
      <x:c r="N197" s="5" t="inlineStr">
        <x:is>
          <x:t xml:space="preserve">travel research; itinerary planning; logistics reasoning; contingency planning</x:t>
        </x:is>
      </x:c>
      <x:c r="O197" s="5" t="inlineStr">
        <x:is>
          <x:t xml:space="preserve">High</x:t>
        </x:is>
      </x:c>
      <x:c r="P197" s="5" t="inlineStr">
        <x:is>
          <x:t xml:space="preserve">Medium</x:t>
        </x:is>
      </x:c>
      <x:c r="Q197" s="5" t="inlineStr">
        <x:is>
          <x:t xml:space="preserve">Medium</x:t>
        </x:is>
      </x:c>
      <x:c r="R197" s="5" t="inlineStr">
        <x:is>
          <x:t xml:space="preserve">Low</x:t>
        </x:is>
      </x:c>
      <x:c r="S197" s="5" t="inlineStr">
        <x:is>
          <x:t xml:space="preserve">Low</x:t>
        </x:is>
      </x:c>
      <x:c r="T197" s="5" t="inlineStr">
        <x:is>
          <x:t xml:space="preserve">ChatGPT with web; maps/calendar later</x:t>
        </x:is>
      </x:c>
      <x:c r="U197" s="5" t="inlineStr">
        <x:is>
          <x:t xml:space="preserve">Easy</x:t>
        </x:is>
      </x:c>
      <x:c r="V197" s="10" t="n">
        <x:v>1</x:v>
      </x:c>
      <x:c r="W197" s="5" t="inlineStr">
        <x:is>
          <x:t xml:space="preserve">Live trip planning + feasibility review</x:t>
        </x:is>
      </x:c>
      <x:c r="X197" s="5" t="inlineStr">
        <x:is>
          <x:t xml:space="preserve">itinerary / relocation plan / checklist</x:t>
        </x:is>
      </x:c>
      <x:c r="Y197" s="5" t="inlineStr">
        <x:is>
          <x:t xml:space="preserve">Plan is current, geographically sensible, and tuned to budget/constraints.</x:t>
        </x:is>
      </x:c>
      <x:c r="Z197" s="5" t="inlineStr">
        <x:is>
          <x:t xml:space="preserve">Bad logistics, stale info, wrong timing, or generic travel advice.</x:t>
        </x:is>
      </x:c>
      <x:c r="AA197" s="5" t="inlineStr">
        <x:is>
          <x:t xml:space="preserve">travel templates / web + mapping integration / logistics engine</x:t>
        </x:is>
      </x:c>
      <x:c r="AB197" s="5" t="inlineStr">
        <x:is>
          <x:t xml:space="preserve"/>
        </x:is>
      </x:c>
      <x:c r="AC197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197" s="5" t="inlineStr">
        <x:is>
          <x:t xml:space="preserve">Deloitte Connected Consumer 2025; Adobe travel planning 2025</x:t>
        </x:is>
      </x:c>
      <x:c r="AE197" s="11">
        <x:f>IF(O197="High",20,IF(O197="Medium",10,IF(O197="Low",5,0)))+IF(P197="High",20,IF(P197="Medium",10,IF(P197="Low",5,0)))+IF(Q197="High",20,IF(Q197="Medium",10,IF(Q197="Low",5,0)))+IF(R197="High",20,IF(R197="Medium",10,IF(R197="Low",5,0)))+IF(S197="High",20,IF(S197="Medium",10,IF(S197="Low",5,0)))</x:f>
        <x:v>50</x:v>
      </x:c>
      <x:c r="AF197" s="12">
        <x:f>ROUND(H197*0.30+J197*0.25+K197*0.20+(100-AE197)*0.10+(100-(V197*20))*0.15,0)</x:f>
        <x:v>61</x:v>
      </x:c>
      <x:c r="AG197" s="13" t="str">
        <x:f>IF(AF197&gt;=80,"Batch 1",IF(AF197&gt;=70,"Batch 2",IF(AF197&gt;=60,"Batch 3","Backlog")))</x:f>
        <x:v>Batch 3</x:v>
      </x:c>
      <x:c r="AH197" t="inlineStr">
        <x:is>
          <x:t xml:space="preserve"/>
        </x:is>
      </x:c>
    </x:row>
    <x:row r="198">
      <x:c r="A198" s="5" t="inlineStr">
        <x:is>
          <x:t xml:space="preserve">GPO-CAR-14</x:t>
        </x:is>
      </x:c>
      <x:c r="B198" s="5" t="n">
        <x:v>194</x:v>
      </x:c>
      <x:c r="C198" s="5" t="inlineStr">
        <x:is>
          <x:t xml:space="preserve">Career &amp; Job Search</x:t>
        </x:is>
      </x:c>
      <x:c r="D198" s="5" t="inlineStr">
        <x:is>
          <x:t xml:space="preserve">Advance</x:t>
        </x:is>
      </x:c>
      <x:c r="E198" s="5" t="inlineStr">
        <x:is>
          <x:t xml:space="preserve">Expansion 150</x:t>
        </x:is>
      </x:c>
      <x:c r="F198" s="5" t="n">
        <x:v>14</x:v>
      </x:c>
      <x:c r="G198" s="5" t="inlineStr">
        <x:is>
          <x:t xml:space="preserve">Help me create a portfolio/project narrative that proves I can do the work.</x:t>
        </x:is>
      </x:c>
      <x:c r="H198" s="6" t="n">
        <x:v>47</x:v>
      </x:c>
      <x:c r="I198" s="6" t="n">
        <x:v>47</x:v>
      </x:c>
      <x:c r="J198" s="7" t="n">
        <x:v>74</x:v>
      </x:c>
      <x:c r="K198" s="7" t="n">
        <x:v>59</x:v>
      </x:c>
      <x:c r="L198" s="8" t="inlineStr">
        <x:is>
          <x:t xml:space="preserve">UNTESTED</x:t>
        </x:is>
      </x:c>
      <x:c r="M198" s="9" t="inlineStr">
        <x:is>
          <x:t xml:space="preserve">UNTESTED</x:t>
        </x:is>
      </x:c>
      <x:c r="N198" s="5" t="inlineStr">
        <x:is>
          <x:t xml:space="preserve">resume tailoring; interview prep; role mapping; narrative building</x:t>
        </x:is>
      </x:c>
      <x:c r="O198" s="5" t="inlineStr">
        <x:is>
          <x:t xml:space="preserve">Medium</x:t>
        </x:is>
      </x:c>
      <x:c r="P198" s="5" t="inlineStr">
        <x:is>
          <x:t xml:space="preserve">High</x:t>
        </x:is>
      </x:c>
      <x:c r="Q198" s="5" t="inlineStr">
        <x:is>
          <x:t xml:space="preserve">Low</x:t>
        </x:is>
      </x:c>
      <x:c r="R198" s="5" t="inlineStr">
        <x:is>
          <x:t xml:space="preserve">Low</x:t>
        </x:is>
      </x:c>
      <x:c r="S198" s="5" t="inlineStr">
        <x:is>
          <x:t xml:space="preserve">Low</x:t>
        </x:is>
      </x:c>
      <x:c r="T198" s="5" t="inlineStr">
        <x:is>
          <x:t xml:space="preserve">ChatGPT primary</x:t>
        </x:is>
      </x:c>
      <x:c r="U198" s="5" t="inlineStr">
        <x:is>
          <x:t xml:space="preserve">Easy</x:t>
        </x:is>
      </x:c>
      <x:c r="V198" s="10" t="n">
        <x:v>1</x:v>
      </x:c>
      <x:c r="W198" s="5" t="inlineStr">
        <x:is>
          <x:t xml:space="preserve">Artifact review + mock interview + targeting review</x:t>
        </x:is>
      </x:c>
      <x:c r="X198" s="5" t="inlineStr">
        <x:is>
          <x:t xml:space="preserve">resume / prep plan / outreach / strategy memo</x:t>
        </x:is>
      </x:c>
      <x:c r="Y198" s="5" t="inlineStr">
        <x:is>
          <x:t xml:space="preserve">Career outputs are specific, credible, and materially improve positioning.</x:t>
        </x:is>
      </x:c>
      <x:c r="Z198" s="5" t="inlineStr">
        <x:is>
          <x:t xml:space="preserve">Generic resume language, fake-sounding stories, or weak role fit.</x:t>
        </x:is>
      </x:c>
      <x:c r="AA198" s="5" t="inlineStr">
        <x:is>
          <x:t xml:space="preserve">career templates / memory / ATS-aware output logic</x:t>
        </x:is>
      </x:c>
      <x:c r="AB198" s="5" t="inlineStr">
        <x:is>
          <x:t xml:space="preserve"/>
        </x:is>
      </x:c>
      <x:c r="AC198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198" s="5" t="inlineStr">
        <x:is>
          <x:t xml:space="preserve">Insight Global AI in Hiring Report 2025; NACE student survey 2025/2026</x:t>
        </x:is>
      </x:c>
      <x:c r="AE198" s="11">
        <x:f>IF(O198="High",20,IF(O198="Medium",10,IF(O198="Low",5,0)))+IF(P198="High",20,IF(P198="Medium",10,IF(P198="Low",5,0)))+IF(Q198="High",20,IF(Q198="Medium",10,IF(Q198="Low",5,0)))+IF(R198="High",20,IF(R198="Medium",10,IF(R198="Low",5,0)))+IF(S198="High",20,IF(S198="Medium",10,IF(S198="Low",5,0)))</x:f>
        <x:v>45</x:v>
      </x:c>
      <x:c r="AF198" s="12">
        <x:f>ROUND(H198*0.30+J198*0.25+K198*0.20+(100-AE198)*0.10+(100-(V198*20))*0.15,0)</x:f>
        <x:v>62</x:v>
      </x:c>
      <x:c r="AG198" s="13" t="str">
        <x:f>IF(AF198&gt;=80,"Batch 1",IF(AF198&gt;=70,"Batch 2",IF(AF198&gt;=60,"Batch 3","Backlog")))</x:f>
        <x:v>Batch 3</x:v>
      </x:c>
      <x:c r="AH198" t="inlineStr">
        <x:is>
          <x:t xml:space="preserve"/>
        </x:is>
      </x:c>
    </x:row>
    <x:row r="199">
      <x:c r="A199" s="5" t="inlineStr">
        <x:is>
          <x:t xml:space="preserve">GPO-LEA-21</x:t>
        </x:is>
      </x:c>
      <x:c r="B199" s="5" t="n">
        <x:v>195</x:v>
      </x:c>
      <x:c r="C199" s="5" t="inlineStr">
        <x:is>
          <x:t xml:space="preserve">Learning &amp; Tutoring</x:t>
        </x:is>
      </x:c>
      <x:c r="D199" s="5" t="inlineStr">
        <x:is>
          <x:t xml:space="preserve">Grow</x:t>
        </x:is>
      </x:c>
      <x:c r="E199" s="5" t="inlineStr">
        <x:is>
          <x:t xml:space="preserve">Stretch 60</x:t>
        </x:is>
      </x:c>
      <x:c r="F199" s="5" t="n">
        <x:v>21</x:v>
      </x:c>
      <x:c r="G199" s="5" t="inlineStr">
        <x:is>
          <x:t xml:space="preserve">Diagnose my learning bottleneck and redesign the teaching approach around how I actually learn.</x:t>
        </x:is>
      </x:c>
      <x:c r="H199" s="6" t="n">
        <x:v>47</x:v>
      </x:c>
      <x:c r="I199" s="6" t="n">
        <x:v>47</x:v>
      </x:c>
      <x:c r="J199" s="7" t="n">
        <x:v>74</x:v>
      </x:c>
      <x:c r="K199" s="7" t="n">
        <x:v>59</x:v>
      </x:c>
      <x:c r="L199" s="8" t="inlineStr">
        <x:is>
          <x:t xml:space="preserve">UNTESTED</x:t>
        </x:is>
      </x:c>
      <x:c r="M199" s="9" t="inlineStr">
        <x:is>
          <x:t xml:space="preserve">UNTESTED</x:t>
        </x:is>
      </x:c>
      <x:c r="N199" s="5" t="inlineStr">
        <x:is>
          <x:t xml:space="preserve">adaptive tutoring; curriculum planning; quiz generation; context retention</x:t>
        </x:is>
      </x:c>
      <x:c r="O199" s="5" t="inlineStr">
        <x:is>
          <x:t xml:space="preserve">Low</x:t>
        </x:is>
      </x:c>
      <x:c r="P199" s="5" t="inlineStr">
        <x:is>
          <x:t xml:space="preserve">High</x:t>
        </x:is>
      </x:c>
      <x:c r="Q199" s="5" t="inlineStr">
        <x:is>
          <x:t xml:space="preserve">Low</x:t>
        </x:is>
      </x:c>
      <x:c r="R199" s="5" t="inlineStr">
        <x:is>
          <x:t xml:space="preserve">Low</x:t>
        </x:is>
      </x:c>
      <x:c r="S199" s="5" t="inlineStr">
        <x:is>
          <x:t xml:space="preserve">Low</x:t>
        </x:is>
      </x:c>
      <x:c r="T199" s="5" t="inlineStr">
        <x:is>
          <x:t xml:space="preserve">ChatGPT primary</x:t>
        </x:is>
      </x:c>
      <x:c r="U199" s="5" t="inlineStr">
        <x:is>
          <x:t xml:space="preserve">Medium</x:t>
        </x:is>
      </x:c>
      <x:c r="V199" s="10" t="n">
        <x:v>2</x:v>
      </x:c>
      <x:c r="W199" s="5" t="inlineStr">
        <x:is>
          <x:t xml:space="preserve">Interactive tutoring session + quality review</x:t>
        </x:is>
      </x:c>
      <x:c r="X199" s="5" t="inlineStr">
        <x:is>
          <x:t xml:space="preserve">lesson / plan / quiz / explanation</x:t>
        </x:is>
      </x:c>
      <x:c r="Y199" s="5" t="inlineStr">
        <x:is>
          <x:t xml:space="preserve">Teaching is accurate, adaptive, and improves understanding rather than over-answering.</x:t>
        </x:is>
      </x:c>
      <x:c r="Z199" s="5" t="inlineStr">
        <x:is>
          <x:t xml:space="preserve">Wrong explanations, over-helping, no adaptation, or generic curriculum.</x:t>
        </x:is>
      </x:c>
      <x:c r="AA199" s="5" t="inlineStr">
        <x:is>
          <x:t xml:space="preserve">tutor mode / memory / scaffolding logic</x:t>
        </x:is>
      </x:c>
      <x:c r="AB199" s="5" t="inlineStr">
        <x:is>
          <x:t xml:space="preserve"/>
        </x:is>
      </x:c>
      <x:c r="AC199" s="5" t="inlineStr">
        <x:is>
          <x:t xml:space="preserve">OpenAI practical guidance includes tutoring; HEPI 2025 says 88% of students use GenAI for assessments, often to explain concepts and summarize articles.</x:t>
        </x:is>
      </x:c>
      <x:c r="AD199" s="5" t="inlineStr">
        <x:is>
          <x:t xml:space="preserve">OpenAI How People Use ChatGPT paper; HEPI Student Generative AI Survey 2025; Brookings 2026 tutoring article</x:t>
        </x:is>
      </x:c>
      <x:c r="AE199" s="11">
        <x:f>IF(O199="High",20,IF(O199="Medium",10,IF(O199="Low",5,0)))+IF(P199="High",20,IF(P199="Medium",10,IF(P199="Low",5,0)))+IF(Q199="High",20,IF(Q199="Medium",10,IF(Q199="Low",5,0)))+IF(R199="High",20,IF(R199="Medium",10,IF(R199="Low",5,0)))+IF(S199="High",20,IF(S199="Medium",10,IF(S199="Low",5,0)))</x:f>
        <x:v>40</x:v>
      </x:c>
      <x:c r="AF199" s="12">
        <x:f>ROUND(H199*0.30+J199*0.25+K199*0.20+(100-AE199)*0.10+(100-(V199*20))*0.15,0)</x:f>
        <x:v>59</x:v>
      </x:c>
      <x:c r="AG199" s="13" t="str">
        <x:f>IF(AF199&gt;=80,"Batch 1",IF(AF199&gt;=70,"Batch 2",IF(AF199&gt;=60,"Batch 3","Backlog")))</x:f>
        <x:v>Backlog</x:v>
      </x:c>
      <x:c r="AH199" t="inlineStr">
        <x:is>
          <x:t xml:space="preserve"/>
        </x:is>
      </x:c>
    </x:row>
    <x:row r="200">
      <x:c r="A200" s="5" t="inlineStr">
        <x:is>
          <x:t xml:space="preserve">GPO-RES-21</x:t>
        </x:is>
      </x:c>
      <x:c r="B200" s="5" t="n">
        <x:v>196</x:v>
      </x:c>
      <x:c r="C200" s="5" t="inlineStr">
        <x:is>
          <x:t xml:space="preserve">Research &amp; Analysis</x:t>
        </x:is>
      </x:c>
      <x:c r="D200" s="5" t="inlineStr">
        <x:is>
          <x:t xml:space="preserve">Think</x:t>
        </x:is>
      </x:c>
      <x:c r="E200" s="5" t="inlineStr">
        <x:is>
          <x:t xml:space="preserve">Stretch 60</x:t>
        </x:is>
      </x:c>
      <x:c r="F200" s="5" t="n">
        <x:v>21</x:v>
      </x:c>
      <x:c r="G200" s="5" t="inlineStr">
        <x:is>
          <x:t xml:space="preserve">Create a living research brief that updates only when evidence materially changes.</x:t>
        </x:is>
      </x:c>
      <x:c r="H200" s="6" t="n">
        <x:v>48</x:v>
      </x:c>
      <x:c r="I200" s="6" t="n">
        <x:v>48</x:v>
      </x:c>
      <x:c r="J200" s="7" t="n">
        <x:v>72</x:v>
      </x:c>
      <x:c r="K200" s="7" t="n">
        <x:v>59</x:v>
      </x:c>
      <x:c r="L200" s="8" t="inlineStr">
        <x:is>
          <x:t xml:space="preserve">UNTESTED</x:t>
        </x:is>
      </x:c>
      <x:c r="M200" s="9" t="inlineStr">
        <x:is>
          <x:t xml:space="preserve">UNTESTED</x:t>
        </x:is>
      </x:c>
      <x:c r="N200" s="5" t="inlineStr">
        <x:is>
          <x:t xml:space="preserve">web research; synthesis; citation discipline; decision framing</x:t>
        </x:is>
      </x:c>
      <x:c r="O200" s="5" t="inlineStr">
        <x:is>
          <x:t xml:space="preserve">High</x:t>
        </x:is>
      </x:c>
      <x:c r="P200" s="5" t="inlineStr">
        <x:is>
          <x:t xml:space="preserve">Medium</x:t>
        </x:is>
      </x:c>
      <x:c r="Q200" s="5" t="inlineStr">
        <x:is>
          <x:t xml:space="preserve">Medium</x:t>
        </x:is>
      </x:c>
      <x:c r="R200" s="5" t="inlineStr">
        <x:is>
          <x:t xml:space="preserve">Medium</x:t>
        </x:is>
      </x:c>
      <x:c r="S200" s="5" t="inlineStr">
        <x:is>
          <x:t xml:space="preserve">Low</x:t>
        </x:is>
      </x:c>
      <x:c r="T200" s="5" t="inlineStr">
        <x:is>
          <x:t xml:space="preserve">ChatGPT with web; Claude for synthesis</x:t>
        </x:is>
      </x:c>
      <x:c r="U200" s="5" t="inlineStr">
        <x:is>
          <x:t xml:space="preserve">Hard</x:t>
        </x:is>
      </x:c>
      <x:c r="V200" s="10" t="n">
        <x:v>3</x:v>
      </x:c>
      <x:c r="W200" s="5" t="inlineStr">
        <x:is>
          <x:t xml:space="preserve">Live research + source validation + recommendation review</x:t>
        </x:is>
      </x:c>
      <x:c r="X200" s="5" t="inlineStr">
        <x:is>
          <x:t xml:space="preserve">brief / comparison / decision memo / risk analysis</x:t>
        </x:is>
      </x:c>
      <x:c r="Y200" s="5" t="inlineStr">
        <x:is>
          <x:t xml:space="preserve">Accurate synthesis with evidence, tradeoffs, and a concrete recommendation.</x:t>
        </x:is>
      </x:c>
      <x:c r="Z200" s="5" t="inlineStr">
        <x:is>
          <x:t xml:space="preserve">Stale facts, no citations, weak reasoning, or surface-level synthesis.</x:t>
        </x:is>
      </x:c>
      <x:c r="AA200" s="5" t="inlineStr">
        <x:is>
          <x:t xml:space="preserve">web integration / citation enforcement / analysis rubric</x:t>
        </x:is>
      </x:c>
      <x:c r="AB200" s="5" t="inlineStr">
        <x:is>
          <x:t xml:space="preserve"/>
        </x:is>
      </x:c>
      <x:c r="AC200" s="5" t="inlineStr">
        <x:is>
          <x:t xml:space="preserve">OpenAI usage paper: Seeking Information is in top 3 categories; work/advice/search are common across Deloitte and OpenAI.</x:t>
        </x:is>
      </x:c>
      <x:c r="AD200" s="5" t="inlineStr">
        <x:is>
          <x:t xml:space="preserve">OpenAI How People Use ChatGPT paper; Deloitte Connected Consumer 2025</x:t>
        </x:is>
      </x:c>
      <x:c r="AE200" s="11">
        <x:f>IF(O200="High",20,IF(O200="Medium",10,IF(O200="Low",5,0)))+IF(P200="High",20,IF(P200="Medium",10,IF(P200="Low",5,0)))+IF(Q200="High",20,IF(Q200="Medium",10,IF(Q200="Low",5,0)))+IF(R200="High",20,IF(R200="Medium",10,IF(R200="Low",5,0)))+IF(S200="High",20,IF(S200="Medium",10,IF(S200="Low",5,0)))</x:f>
        <x:v>55</x:v>
      </x:c>
      <x:c r="AF200" s="12">
        <x:f>ROUND(H200*0.30+J200*0.25+K200*0.20+(100-AE200)*0.10+(100-(V200*20))*0.15,0)</x:f>
        <x:v>55</x:v>
      </x:c>
      <x:c r="AG200" s="13" t="str">
        <x:f>IF(AF200&gt;=80,"Batch 1",IF(AF200&gt;=70,"Batch 2",IF(AF200&gt;=60,"Batch 3","Backlog")))</x:f>
        <x:v>Backlog</x:v>
      </x:c>
      <x:c r="AH200" t="inlineStr">
        <x:is>
          <x:t xml:space="preserve"/>
        </x:is>
      </x:c>
    </x:row>
    <x:row r="201">
      <x:c r="A201" s="5" t="inlineStr">
        <x:is>
          <x:t xml:space="preserve">GPO-WRI-22</x:t>
        </x:is>
      </x:c>
      <x:c r="B201" s="5" t="n">
        <x:v>197</x:v>
      </x:c>
      <x:c r="C201" s="5" t="inlineStr">
        <x:is>
          <x:t xml:space="preserve">Writing &amp; Documentation</x:t>
        </x:is>
      </x:c>
      <x:c r="D201" s="5" t="inlineStr">
        <x:is>
          <x:t xml:space="preserve">Create</x:t>
        </x:is>
      </x:c>
      <x:c r="E201" s="5" t="inlineStr">
        <x:is>
          <x:t xml:space="preserve">Stretch 60</x:t>
        </x:is>
      </x:c>
      <x:c r="F201" s="5" t="n">
        <x:v>22</x:v>
      </x:c>
      <x:c r="G201" s="5" t="inlineStr">
        <x:is>
          <x:t xml:space="preserve">Turn an entire project folder worth of notes into a clean decision history and knowledge base.</x:t>
        </x:is>
      </x:c>
      <x:c r="H201" s="6" t="n">
        <x:v>46</x:v>
      </x:c>
      <x:c r="I201" s="6" t="n">
        <x:v>46</x:v>
      </x:c>
      <x:c r="J201" s="7" t="n">
        <x:v>75</x:v>
      </x:c>
      <x:c r="K201" s="7" t="n">
        <x:v>59</x:v>
      </x:c>
      <x:c r="L201" s="8" t="inlineStr">
        <x:is>
          <x:t xml:space="preserve">UNTESTED</x:t>
        </x:is>
      </x:c>
      <x:c r="M201" s="9" t="inlineStr">
        <x:is>
          <x:t xml:space="preserve">UNTESTED</x:t>
        </x:is>
      </x:c>
      <x:c r="N201" s="5" t="inlineStr">
        <x:is>
          <x:t xml:space="preserve">writing quality; summarization; style control; structured artifacts</x:t>
        </x:is>
      </x:c>
      <x:c r="O201" s="5" t="inlineStr">
        <x:is>
          <x:t xml:space="preserve">Low</x:t>
        </x:is>
      </x:c>
      <x:c r="P201" s="5" t="inlineStr">
        <x:is>
          <x:t xml:space="preserve">Medium</x:t>
        </x:is>
      </x:c>
      <x:c r="Q201" s="5" t="inlineStr">
        <x:is>
          <x:t xml:space="preserve">Low</x:t>
        </x:is>
      </x:c>
      <x:c r="R201" s="5" t="inlineStr">
        <x:is>
          <x:t xml:space="preserve">Low</x:t>
        </x:is>
      </x:c>
      <x:c r="S201" s="5" t="inlineStr">
        <x:is>
          <x:t xml:space="preserve">Low</x:t>
        </x:is>
      </x:c>
      <x:c r="T201" s="5" t="inlineStr">
        <x:is>
          <x:t xml:space="preserve">ChatGPT or Claude; human review optional</x:t>
        </x:is>
      </x:c>
      <x:c r="U201" s="5" t="inlineStr">
        <x:is>
          <x:t xml:space="preserve">Medium</x:t>
        </x:is>
      </x:c>
      <x:c r="V201" s="10" t="n">
        <x:v>2</x:v>
      </x:c>
      <x:c r="W201" s="5" t="inlineStr">
        <x:is>
          <x:t xml:space="preserve">Prompt execution + artifact quality review</x:t>
        </x:is>
      </x:c>
      <x:c r="X201" s="5" t="inlineStr">
        <x:is>
          <x:t xml:space="preserve">doc / memo / email / FAQ / summary</x:t>
        </x:is>
      </x:c>
      <x:c r="Y201" s="5" t="inlineStr">
        <x:is>
          <x:t xml:space="preserve">Output is clear, tailored, structurally sound, and immediately usable.</x:t>
        </x:is>
      </x:c>
      <x:c r="Z201" s="5" t="inlineStr">
        <x:is>
          <x:t xml:space="preserve">Generic tone, missing context, weak structure, or wrong audience level.</x:t>
        </x:is>
      </x:c>
      <x:c r="AA201" s="5" t="inlineStr">
        <x:is>
          <x:t xml:space="preserve">prompt pack / style guidance / output schema</x:t>
        </x:is>
      </x:c>
      <x:c r="AB201" s="5" t="inlineStr">
        <x:is>
          <x:t xml:space="preserve"/>
        </x:is>
      </x:c>
      <x:c r="AC201" s="5" t="inlineStr">
        <x:is>
          <x:t xml:space="preserve">OpenAI usage paper: Writing is in top 3 categories; Menlo consumer AI says 19% use AI to write emails and 18% get writing support.</x:t>
        </x:is>
      </x:c>
      <x:c r="AD201" s="5" t="inlineStr">
        <x:is>
          <x:t xml:space="preserve">OpenAI How People Use ChatGPT paper; Menlo State of Consumer AI 2025</x:t>
        </x:is>
      </x:c>
      <x:c r="AE201" s="11">
        <x:f>IF(O201="High",20,IF(O201="Medium",10,IF(O201="Low",5,0)))+IF(P201="High",20,IF(P201="Medium",10,IF(P201="Low",5,0)))+IF(Q201="High",20,IF(Q201="Medium",10,IF(Q201="Low",5,0)))+IF(R201="High",20,IF(R201="Medium",10,IF(R201="Low",5,0)))+IF(S201="High",20,IF(S201="Medium",10,IF(S201="Low",5,0)))</x:f>
        <x:v>30</x:v>
      </x:c>
      <x:c r="AF201" s="12">
        <x:f>ROUND(H201*0.30+J201*0.25+K201*0.20+(100-AE201)*0.10+(100-(V201*20))*0.15,0)</x:f>
        <x:v>60</x:v>
      </x:c>
      <x:c r="AG201" s="13" t="str">
        <x:f>IF(AF201&gt;=80,"Batch 1",IF(AF201&gt;=70,"Batch 2",IF(AF201&gt;=60,"Batch 3","Backlog")))</x:f>
        <x:v>Batch 3</x:v>
      </x:c>
      <x:c r="AH201" t="inlineStr">
        <x:is>
          <x:t xml:space="preserve"/>
        </x:is>
      </x:c>
    </x:row>
    <x:row r="202">
      <x:c r="A202" s="5" t="inlineStr">
        <x:is>
          <x:t xml:space="preserve">GPO-COD-22</x:t>
        </x:is>
      </x:c>
      <x:c r="B202" s="5" t="n">
        <x:v>198</x:v>
      </x:c>
      <x:c r="C202" s="5" t="inlineStr">
        <x:is>
          <x:t xml:space="preserve">Code &amp; Product Engineering</x:t>
        </x:is>
      </x:c>
      <x:c r="D202" s="5" t="inlineStr">
        <x:is>
          <x:t xml:space="preserve">Build</x:t>
        </x:is>
      </x:c>
      <x:c r="E202" s="5" t="inlineStr">
        <x:is>
          <x:t xml:space="preserve">Stretch 60</x:t>
        </x:is>
      </x:c>
      <x:c r="F202" s="5" t="n">
        <x:v>22</x:v>
      </x:c>
      <x:c r="G202" s="5" t="inlineStr">
        <x:is>
          <x:t xml:space="preserve">Build a repo-wide capability map that tells GPO which modules own which behaviors.</x:t>
        </x:is>
      </x:c>
      <x:c r="H202" s="6" t="n">
        <x:v>47</x:v>
      </x:c>
      <x:c r="I202" s="6" t="n">
        <x:v>47</x:v>
      </x:c>
      <x:c r="J202" s="7" t="n">
        <x:v>73</x:v>
      </x:c>
      <x:c r="K202" s="7" t="n">
        <x:v>59</x:v>
      </x:c>
      <x:c r="L202" s="8" t="inlineStr">
        <x:is>
          <x:t xml:space="preserve">UNTESTED</x:t>
        </x:is>
      </x:c>
      <x:c r="M202" s="9" t="inlineStr">
        <x:is>
          <x:t xml:space="preserve">UNTESTED</x:t>
        </x:is>
      </x:c>
      <x:c r="N202" s="5" t="inlineStr">
        <x:is>
          <x:t xml:space="preserve">routing; code reasoning; repo context; file edit; test execution; structured output</x:t>
        </x:is>
      </x:c>
      <x:c r="O202" s="5" t="inlineStr">
        <x:is>
          <x:t xml:space="preserve">No</x:t>
        </x:is>
      </x:c>
      <x:c r="P202" s="5" t="inlineStr">
        <x:is>
          <x:t xml:space="preserve">Medium</x:t>
        </x:is>
      </x:c>
      <x:c r="Q202" s="5" t="inlineStr">
        <x:is>
          <x:t xml:space="preserve">High</x:t>
        </x:is>
      </x:c>
      <x:c r="R202" s="5" t="inlineStr">
        <x:is>
          <x:t xml:space="preserve">Medium</x:t>
        </x:is>
      </x:c>
      <x:c r="S202" s="5" t="inlineStr">
        <x:is>
          <x:t xml:space="preserve">Low</x:t>
        </x:is>
      </x:c>
      <x:c r="T202" s="5" t="inlineStr">
        <x:is>
          <x:t xml:space="preserve">Claude Code primary; ChatGPT critique; web optional</x:t>
        </x:is>
      </x:c>
      <x:c r="U202" s="5" t="inlineStr">
        <x:is>
          <x:t xml:space="preserve">Hard</x:t>
        </x:is>
      </x:c>
      <x:c r="V202" s="10" t="n">
        <x:v>3</x:v>
      </x:c>
      <x:c r="W202" s="5" t="inlineStr">
        <x:is>
          <x:t xml:space="preserve">Live execution + code diff + output review</x:t>
        </x:is>
      </x:c>
      <x:c r="X202" s="5" t="inlineStr">
        <x:is>
          <x:t xml:space="preserve">code patch / spec / architecture / debug report</x:t>
        </x:is>
      </x:c>
      <x:c r="Y202" s="5" t="inlineStr">
        <x:is>
          <x:t xml:space="preserve">Produces correct technical plan or working code without breaking current behavior.</x:t>
        </x:is>
      </x:c>
      <x:c r="Z202" s="5" t="inlineStr">
        <x:is>
          <x:t xml:space="preserve">Hallucinated codebase facts, unsafe refactor, broken tests, or vague technical output.</x:t>
        </x:is>
      </x:c>
      <x:c r="AA202" s="5" t="inlineStr">
        <x:is>
          <x:t xml:space="preserve">routing / tool wiring / repo context / codegen guardrails</x:t>
        </x:is>
      </x:c>
      <x:c r="AB202" s="5" t="inlineStr">
        <x:is>
          <x:t xml:space="preserve"/>
        </x:is>
      </x:c>
      <x:c r="AC202" s="5" t="inlineStr">
        <x:is>
          <x:t xml:space="preserve">OpenAI/common use: writing+coding; Menlo enterprise coding is 55% of departmental AI spend; Deloitte top app: work assistance.</x:t>
        </x:is>
      </x:c>
      <x:c r="AD202" s="5" t="inlineStr">
        <x:is>
          <x:t xml:space="preserve">OpenAI GPT-5 / How People Use ChatGPT; Menlo State of GenAI in Enterprise 2025; Deloitte Connected Consumer 2025</x:t>
        </x:is>
      </x:c>
      <x:c r="AE202" s="11">
        <x:f>IF(O202="High",20,IF(O202="Medium",10,IF(O202="Low",5,0)))+IF(P202="High",20,IF(P202="Medium",10,IF(P202="Low",5,0)))+IF(Q202="High",20,IF(Q202="Medium",10,IF(Q202="Low",5,0)))+IF(R202="High",20,IF(R202="Medium",10,IF(R202="Low",5,0)))+IF(S202="High",20,IF(S202="Medium",10,IF(S202="Low",5,0)))</x:f>
        <x:v>45</x:v>
      </x:c>
      <x:c r="AF202" s="12">
        <x:f>ROUND(H202*0.30+J202*0.25+K202*0.20+(100-AE202)*0.10+(100-(V202*20))*0.15,0)</x:f>
        <x:v>56</x:v>
      </x:c>
      <x:c r="AG202" s="13" t="str">
        <x:f>IF(AF202&gt;=80,"Batch 1",IF(AF202&gt;=70,"Batch 2",IF(AF202&gt;=60,"Batch 3","Backlog")))</x:f>
        <x:v>Backlog</x:v>
      </x:c>
      <x:c r="AH202" t="inlineStr">
        <x:is>
          <x:t xml:space="preserve"/>
        </x:is>
      </x:c>
    </x:row>
    <x:row r="203">
      <x:c r="A203" s="5" t="inlineStr">
        <x:is>
          <x:t xml:space="preserve">GPO-HOM-02</x:t>
        </x:is>
      </x:c>
      <x:c r="B203" s="5" t="n">
        <x:v>199</x:v>
      </x:c>
      <x:c r="C203" s="5" t="inlineStr">
        <x:is>
          <x:t xml:space="preserve">Home &amp; Lifestyle Design</x:t>
        </x:is>
      </x:c>
      <x:c r="D203" s="5" t="inlineStr">
        <x:is>
          <x:t xml:space="preserve">Design</x:t>
        </x:is>
      </x:c>
      <x:c r="E203" s="5" t="inlineStr">
        <x:is>
          <x:t xml:space="preserve">Core 150</x:t>
        </x:is>
      </x:c>
      <x:c r="F203" s="5" t="n">
        <x:v>2</x:v>
      </x:c>
      <x:c r="G203" s="5" t="inlineStr">
        <x:is>
          <x:t xml:space="preserve">Create a dream home concept that balances luxury, practicality, and future-proofing.</x:t>
        </x:is>
      </x:c>
      <x:c r="H203" s="6" t="n">
        <x:v>47</x:v>
      </x:c>
      <x:c r="I203" s="6" t="n">
        <x:v>47</x:v>
      </x:c>
      <x:c r="J203" s="7" t="n">
        <x:v>73</x:v>
      </x:c>
      <x:c r="K203" s="7" t="n">
        <x:v>59</x:v>
      </x:c>
      <x:c r="L203" s="8" t="inlineStr">
        <x:is>
          <x:t xml:space="preserve">UNTESTED</x:t>
        </x:is>
      </x:c>
      <x:c r="M203" s="9" t="inlineStr">
        <x:is>
          <x:t xml:space="preserve">UNTESTED</x:t>
        </x:is>
      </x:c>
      <x:c r="N203" s="5" t="inlineStr">
        <x:is>
          <x:t xml:space="preserve">space planning; product curation; aesthetic reasoning; phased project planning</x:t>
        </x:is>
      </x:c>
      <x:c r="O203" s="5" t="inlineStr">
        <x:is>
          <x:t xml:space="preserve">Medium</x:t>
        </x:is>
      </x:c>
      <x:c r="P203" s="5" t="inlineStr">
        <x:is>
          <x:t xml:space="preserve">High</x:t>
        </x:is>
      </x:c>
      <x:c r="Q203" s="5" t="inlineStr">
        <x:is>
          <x:t xml:space="preserve">Medium</x:t>
        </x:is>
      </x:c>
      <x:c r="R203" s="5" t="inlineStr">
        <x:is>
          <x:t xml:space="preserve">Low</x:t>
        </x:is>
      </x:c>
      <x:c r="S203" s="5" t="inlineStr">
        <x:is>
          <x:t xml:space="preserve">Low</x:t>
        </x:is>
      </x:c>
      <x:c r="T203" s="5" t="inlineStr">
        <x:is>
          <x:t xml:space="preserve">ChatGPT with web; image/design tools later</x:t>
        </x:is>
      </x:c>
      <x:c r="U203" s="5" t="inlineStr">
        <x:is>
          <x:t xml:space="preserve">Easy</x:t>
        </x:is>
      </x:c>
      <x:c r="V203" s="10" t="n">
        <x:v>1</x:v>
      </x:c>
      <x:c r="W203" s="5" t="inlineStr">
        <x:is>
          <x:t xml:space="preserve">Design brief generation + feasibility review</x:t>
        </x:is>
      </x:c>
      <x:c r="X203" s="5" t="inlineStr">
        <x:is>
          <x:t xml:space="preserve">layout / shopping plan / phased upgrade roadmap</x:t>
        </x:is>
      </x:c>
      <x:c r="Y203" s="5" t="inlineStr">
        <x:is>
          <x:t xml:space="preserve">Design plan feels cohesive, practical, and matched to lifestyle goals.</x:t>
        </x:is>
      </x:c>
      <x:c r="Z203" s="5" t="inlineStr">
        <x:is>
          <x:t xml:space="preserve">Pretty but impractical suggestions, no budget logic, or weak taste alignment.</x:t>
        </x:is>
      </x:c>
      <x:c r="AA203" s="5" t="inlineStr">
        <x:is>
          <x:t xml:space="preserve">design preference memory / shopping integration / image workflow</x:t>
        </x:is>
      </x:c>
      <x:c r="AB203" s="5" t="inlineStr">
        <x:is>
          <x:t xml:space="preserve"/>
        </x:is>
      </x:c>
      <x:c r="AC20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03" s="5" t="inlineStr">
        <x:is>
          <x:t xml:space="preserve">ThinkLab 2025 design benchmark; Houzz 2025 AI in construction &amp; design; Canadian Contractor/Mattoboard survey 2025</x:t>
        </x:is>
      </x:c>
      <x:c r="AE203" s="11">
        <x:f>IF(O203="High",20,IF(O203="Medium",10,IF(O203="Low",5,0)))+IF(P203="High",20,IF(P203="Medium",10,IF(P203="Low",5,0)))+IF(Q203="High",20,IF(Q203="Medium",10,IF(Q203="Low",5,0)))+IF(R203="High",20,IF(R203="Medium",10,IF(R203="Low",5,0)))+IF(S203="High",20,IF(S203="Medium",10,IF(S203="Low",5,0)))</x:f>
        <x:v>50</x:v>
      </x:c>
      <x:c r="AF203" s="12">
        <x:f>ROUND(H203*0.30+J203*0.25+K203*0.20+(100-AE203)*0.10+(100-(V203*20))*0.15,0)</x:f>
        <x:v>61</x:v>
      </x:c>
      <x:c r="AG203" s="13" t="str">
        <x:f>IF(AF203&gt;=80,"Batch 1",IF(AF203&gt;=70,"Batch 2",IF(AF203&gt;=60,"Batch 3","Backlog")))</x:f>
        <x:v>Batch 3</x:v>
      </x:c>
      <x:c r="AH203" t="inlineStr">
        <x:is>
          <x:t xml:space="preserve"/>
        </x:is>
      </x:c>
    </x:row>
    <x:row r="204">
      <x:c r="A204" s="5" t="inlineStr">
        <x:is>
          <x:t xml:space="preserve">GPO-STA-14</x:t>
        </x:is>
      </x:c>
      <x:c r="B204" s="5" t="n">
        <x:v>200</x:v>
      </x:c>
      <x:c r="C204" s="5" t="inlineStr">
        <x:is>
          <x:t xml:space="preserve">Startup &amp; Business Builder</x:t>
        </x:is>
      </x:c>
      <x:c r="D204" s="5" t="inlineStr">
        <x:is>
          <x:t xml:space="preserve">Build</x:t>
        </x:is>
      </x:c>
      <x:c r="E204" s="5" t="inlineStr">
        <x:is>
          <x:t xml:space="preserve">Expansion 150</x:t>
        </x:is>
      </x:c>
      <x:c r="F204" s="5" t="n">
        <x:v>14</x:v>
      </x:c>
      <x:c r="G204" s="5" t="inlineStr">
        <x:is>
          <x:t xml:space="preserve">Stress-test my growth plan and tell me where it will probably break.</x:t>
        </x:is>
      </x:c>
      <x:c r="H204" s="6" t="n">
        <x:v>49</x:v>
      </x:c>
      <x:c r="I204" s="6" t="n">
        <x:v>49</x:v>
      </x:c>
      <x:c r="J204" s="7" t="n">
        <x:v>70</x:v>
      </x:c>
      <x:c r="K204" s="7" t="n">
        <x:v>58</x:v>
      </x:c>
      <x:c r="L204" s="8" t="inlineStr">
        <x:is>
          <x:t xml:space="preserve">UNTESTED</x:t>
        </x:is>
      </x:c>
      <x:c r="M204" s="9" t="inlineStr">
        <x:is>
          <x:t xml:space="preserve">UNTESTED</x:t>
        </x:is>
      </x:c>
      <x:c r="N204" s="5" t="inlineStr">
        <x:is>
          <x:t xml:space="preserve">strategy; product thinking; GTM reasoning; structured planning</x:t>
        </x:is>
      </x:c>
      <x:c r="O204" s="5" t="inlineStr">
        <x:is>
          <x:t xml:space="preserve">Medium</x:t>
        </x:is>
      </x:c>
      <x:c r="P204" s="5" t="inlineStr">
        <x:is>
          <x:t xml:space="preserve">High</x:t>
        </x:is>
      </x:c>
      <x:c r="Q204" s="5" t="inlineStr">
        <x:is>
          <x:t xml:space="preserve">Low</x:t>
        </x:is>
      </x:c>
      <x:c r="R204" s="5" t="inlineStr">
        <x:is>
          <x:t xml:space="preserve">Medium</x:t>
        </x:is>
      </x:c>
      <x:c r="S204" s="5" t="inlineStr">
        <x:is>
          <x:t xml:space="preserve">Low</x:t>
        </x:is>
      </x:c>
      <x:c r="T204" s="5" t="inlineStr">
        <x:is>
          <x:t xml:space="preserve">Claude + ChatGPT combo</x:t>
        </x:is>
      </x:c>
      <x:c r="U204" s="5" t="inlineStr">
        <x:is>
          <x:t xml:space="preserve">Medium</x:t>
        </x:is>
      </x:c>
      <x:c r="V204" s="10" t="n">
        <x:v>2</x:v>
      </x:c>
      <x:c r="W204" s="5" t="inlineStr">
        <x:is>
          <x:t xml:space="preserve">Plan generation + critique + strategic review</x:t>
        </x:is>
      </x:c>
      <x:c r="X204" s="5" t="inlineStr">
        <x:is>
          <x:t xml:space="preserve">roadmap / GTM plan / business memo</x:t>
        </x:is>
      </x:c>
      <x:c r="Y204" s="5" t="inlineStr">
        <x:is>
          <x:t xml:space="preserve">Recommendation is strategically sharp, prioritized, and grounded in market reality.</x:t>
        </x:is>
      </x:c>
      <x:c r="Z204" s="5" t="inlineStr">
        <x:is>
          <x:t xml:space="preserve">Buzzwordy output, no wedge, weak prioritization, or unearned confidence.</x:t>
        </x:is>
      </x:c>
      <x:c r="AA204" s="5" t="inlineStr">
        <x:is>
          <x:t xml:space="preserve">strategy templates / board logic / critique loop</x:t>
        </x:is>
      </x:c>
      <x:c r="AB204" s="5" t="inlineStr">
        <x:is>
          <x:t xml:space="preserve"/>
        </x:is>
      </x:c>
      <x:c r="AC204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04" s="5" t="inlineStr">
        <x:is>
          <x:t xml:space="preserve">OpenAI How People Use ChatGPT paper; Menlo State of Consumer AI 2025; Menlo AI UI Problem 2025</x:t>
        </x:is>
      </x:c>
      <x:c r="AE204" s="11">
        <x:f>IF(O204="High",20,IF(O204="Medium",10,IF(O204="Low",5,0)))+IF(P204="High",20,IF(P204="Medium",10,IF(P204="Low",5,0)))+IF(Q204="High",20,IF(Q204="Medium",10,IF(Q204="Low",5,0)))+IF(R204="High",20,IF(R204="Medium",10,IF(R204="Low",5,0)))+IF(S204="High",20,IF(S204="Medium",10,IF(S204="Low",5,0)))</x:f>
        <x:v>50</x:v>
      </x:c>
      <x:c r="AF204" s="12">
        <x:f>ROUND(H204*0.30+J204*0.25+K204*0.20+(100-AE204)*0.10+(100-(V204*20))*0.15,0)</x:f>
        <x:v>58</x:v>
      </x:c>
      <x:c r="AG204" s="13" t="str">
        <x:f>IF(AF204&gt;=80,"Batch 1",IF(AF204&gt;=70,"Batch 2",IF(AF204&gt;=60,"Batch 3","Backlog")))</x:f>
        <x:v>Backlog</x:v>
      </x:c>
      <x:c r="AH204" t="inlineStr">
        <x:is>
          <x:t xml:space="preserve"/>
        </x:is>
      </x:c>
    </x:row>
    <x:row r="205">
      <x:c r="A205" s="5" t="inlineStr">
        <x:is>
          <x:t xml:space="preserve">GPO-MUS-01</x:t>
        </x:is>
      </x:c>
      <x:c r="B205" s="5" t="n">
        <x:v>201</x:v>
      </x:c>
      <x:c r="C205" s="5" t="inlineStr">
        <x:is>
          <x:t xml:space="preserve">Music &amp; Audio Creation</x:t>
        </x:is>
      </x:c>
      <x:c r="D205" s="5" t="inlineStr">
        <x:is>
          <x:t xml:space="preserve">Create</x:t>
        </x:is>
      </x:c>
      <x:c r="E205" s="5" t="inlineStr">
        <x:is>
          <x:t xml:space="preserve">Core 150</x:t>
        </x:is>
      </x:c>
      <x:c r="F205" s="5" t="n">
        <x:v>1</x:v>
      </x:c>
      <x:c r="G205" s="5" t="inlineStr">
        <x:is>
          <x:t xml:space="preserve">Help me learn keyboard/music theory in a way that actually sticks.</x:t>
        </x:is>
      </x:c>
      <x:c r="H205" s="6" t="n">
        <x:v>52</x:v>
      </x:c>
      <x:c r="I205" s="6" t="n">
        <x:v>52</x:v>
      </x:c>
      <x:c r="J205" s="7" t="n">
        <x:v>65</x:v>
      </x:c>
      <x:c r="K205" s="7" t="n">
        <x:v>58</x:v>
      </x:c>
      <x:c r="L205" s="8" t="inlineStr">
        <x:is>
          <x:t xml:space="preserve">UNTESTED</x:t>
        </x:is>
      </x:c>
      <x:c r="M205" s="9" t="inlineStr">
        <x:is>
          <x:t xml:space="preserve">UNTESTED</x:t>
        </x:is>
      </x:c>
      <x:c r="N205" s="5" t="inlineStr">
        <x:is>
          <x:t xml:space="preserve">theory help; composition support; practice coaching; audio workflow planning</x:t>
        </x:is>
      </x:c>
      <x:c r="O205" s="5" t="inlineStr">
        <x:is>
          <x:t xml:space="preserve">Low</x:t>
        </x:is>
      </x:c>
      <x:c r="P205" s="5" t="inlineStr">
        <x:is>
          <x:t xml:space="preserve">Medium</x:t>
        </x:is>
      </x:c>
      <x:c r="Q205" s="5" t="inlineStr">
        <x:is>
          <x:t xml:space="preserve">Medium</x:t>
        </x:is>
      </x:c>
      <x:c r="R205" s="5" t="inlineStr">
        <x:is>
          <x:t xml:space="preserve">Low</x:t>
        </x:is>
      </x:c>
      <x:c r="S205" s="5" t="inlineStr">
        <x:is>
          <x:t xml:space="preserve">Medium</x:t>
        </x:is>
      </x:c>
      <x:c r="T205" s="5" t="inlineStr">
        <x:is>
          <x:t xml:space="preserve">ChatGPT/Claude planning + external music tools</x:t>
        </x:is>
      </x:c>
      <x:c r="U205" s="5" t="inlineStr">
        <x:is>
          <x:t xml:space="preserve">Medium</x:t>
        </x:is>
      </x:c>
      <x:c r="V205" s="10" t="n">
        <x:v>2</x:v>
      </x:c>
      <x:c r="W205" s="5" t="inlineStr">
        <x:is>
          <x:t xml:space="preserve">Creative coaching + workflow review</x:t>
        </x:is>
      </x:c>
      <x:c r="X205" s="5" t="inlineStr">
        <x:is>
          <x:t xml:space="preserve">practice plan / composition guide / arrangement brief</x:t>
        </x:is>
      </x:c>
      <x:c r="Y205" s="5" t="inlineStr">
        <x:is>
          <x:t xml:space="preserve">Output helps create or learn music in a concrete, musically coherent way.</x:t>
        </x:is>
      </x:c>
      <x:c r="Z205" s="5" t="inlineStr">
        <x:is>
          <x:t xml:space="preserve">Musically weak suggestions, generic advice, or no usable next step.</x:t>
        </x:is>
      </x:c>
      <x:c r="AA205" s="5" t="inlineStr">
        <x:is>
          <x:t xml:space="preserve">music mode / external tool routing / structured lesson outputs</x:t>
        </x:is>
      </x:c>
      <x:c r="AB205" s="5" t="inlineStr">
        <x:is>
          <x:t xml:space="preserve"/>
        </x:is>
      </x:c>
      <x:c r="AC205" s="5" t="inlineStr">
        <x:is>
          <x:t xml:space="preserve">Music-maker surveys show strong AI usage in parts of workflow, but full-song generation is less appealing; consumer trust remains mixed.</x:t>
        </x:is>
      </x:c>
      <x:c r="AD205" s="5" t="inlineStr">
        <x:is>
          <x:t xml:space="preserve">LANDR study 2025; PRS for Music 2026; Bain media survey 2025</x:t>
        </x:is>
      </x:c>
      <x:c r="AE205" s="11">
        <x:f>IF(O205="High",20,IF(O205="Medium",10,IF(O205="Low",5,0)))+IF(P205="High",20,IF(P205="Medium",10,IF(P205="Low",5,0)))+IF(Q205="High",20,IF(Q205="Medium",10,IF(Q205="Low",5,0)))+IF(R205="High",20,IF(R205="Medium",10,IF(R205="Low",5,0)))+IF(S205="High",20,IF(S205="Medium",10,IF(S205="Low",5,0)))</x:f>
        <x:v>40</x:v>
      </x:c>
      <x:c r="AF205" s="12">
        <x:f>ROUND(H205*0.30+J205*0.25+K205*0.20+(100-AE205)*0.10+(100-(V205*20))*0.15,0)</x:f>
        <x:v>58</x:v>
      </x:c>
      <x:c r="AG205" s="13" t="str">
        <x:f>IF(AF205&gt;=80,"Batch 1",IF(AF205&gt;=70,"Batch 2",IF(AF205&gt;=60,"Batch 3","Backlog")))</x:f>
        <x:v>Backlog</x:v>
      </x:c>
      <x:c r="AH205" t="inlineStr">
        <x:is>
          <x:t xml:space="preserve"/>
        </x:is>
      </x:c>
    </x:row>
    <x:row r="206">
      <x:c r="A206" s="5" t="inlineStr">
        <x:is>
          <x:t xml:space="preserve">GPO-PER-14</x:t>
        </x:is>
      </x:c>
      <x:c r="B206" s="5" t="n">
        <x:v>202</x:v>
      </x:c>
      <x:c r="C206" s="5" t="inlineStr">
        <x:is>
          <x:t xml:space="preserve">Personal Finance &amp; Investing</x:t>
        </x:is>
      </x:c>
      <x:c r="D206" s="5" t="inlineStr">
        <x:is>
          <x:t xml:space="preserve">Money</x:t>
        </x:is>
      </x:c>
      <x:c r="E206" s="5" t="inlineStr">
        <x:is>
          <x:t xml:space="preserve">Expansion 150</x:t>
        </x:is>
      </x:c>
      <x:c r="F206" s="5" t="n">
        <x:v>14</x:v>
      </x:c>
      <x:c r="G206" s="5" t="inlineStr">
        <x:is>
          <x:t xml:space="preserve">Review this investment idea and separate conviction from hype.</x:t>
        </x:is>
      </x:c>
      <x:c r="H206" s="6" t="n">
        <x:v>50</x:v>
      </x:c>
      <x:c r="I206" s="6" t="n">
        <x:v>50</x:v>
      </x:c>
      <x:c r="J206" s="7" t="n">
        <x:v>68</x:v>
      </x:c>
      <x:c r="K206" s="7" t="n">
        <x:v>58</x:v>
      </x:c>
      <x:c r="L206" s="8" t="inlineStr">
        <x:is>
          <x:t xml:space="preserve">UNTESTED</x:t>
        </x:is>
      </x:c>
      <x:c r="M206" s="9" t="inlineStr">
        <x:is>
          <x:t xml:space="preserve">UNTESTED</x:t>
        </x:is>
      </x:c>
      <x:c r="N206" s="5" t="inlineStr">
        <x:is>
          <x:t xml:space="preserve">scenario modeling; budgeting; portfolio reasoning; decision framing</x:t>
        </x:is>
      </x:c>
      <x:c r="O206" s="5" t="inlineStr">
        <x:is>
          <x:t xml:space="preserve">Medium</x:t>
        </x:is>
      </x:c>
      <x:c r="P206" s="5" t="inlineStr">
        <x:is>
          <x:t xml:space="preserve">High</x:t>
        </x:is>
      </x:c>
      <x:c r="Q206" s="5" t="inlineStr">
        <x:is>
          <x:t xml:space="preserve">Medium</x:t>
        </x:is>
      </x:c>
      <x:c r="R206" s="5" t="inlineStr">
        <x:is>
          <x:t xml:space="preserve">Low</x:t>
        </x:is>
      </x:c>
      <x:c r="S206" s="5" t="inlineStr">
        <x:is>
          <x:t xml:space="preserve">Medium</x:t>
        </x:is>
      </x:c>
      <x:c r="T206" s="5" t="inlineStr">
        <x:is>
          <x:t xml:space="preserve">ChatGPT or Claude with spreadsheet support</x:t>
        </x:is>
      </x:c>
      <x:c r="U206" s="5" t="inlineStr">
        <x:is>
          <x:t xml:space="preserve">Medium</x:t>
        </x:is>
      </x:c>
      <x:c r="V206" s="10" t="n">
        <x:v>2</x:v>
      </x:c>
      <x:c r="W206" s="5" t="inlineStr">
        <x:is>
          <x:t xml:space="preserve">Scenario modeling + coherence review</x:t>
        </x:is>
      </x:c>
      <x:c r="X206" s="5" t="inlineStr">
        <x:is>
          <x:t xml:space="preserve">budget / model / plan / recommendation</x:t>
        </x:is>
      </x:c>
      <x:c r="Y206" s="5" t="inlineStr">
        <x:is>
          <x:t xml:space="preserve">Advice is numerically coherent, practical, and transparent about assumptions.</x:t>
        </x:is>
      </x:c>
      <x:c r="Z206" s="5" t="inlineStr">
        <x:is>
          <x:t xml:space="preserve">Bad math, missing assumptions, or overconfident investment guidance.</x:t>
        </x:is>
      </x:c>
      <x:c r="AA206" s="5" t="inlineStr">
        <x:is>
          <x:t xml:space="preserve">financial calculator / assumption schema / spreadsheet outputs</x:t>
        </x:is>
      </x:c>
      <x:c r="AB206" s="5" t="inlineStr">
        <x:is>
          <x:t xml:space="preserve"/>
        </x:is>
      </x:c>
      <x:c r="AC206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06" s="5" t="inlineStr">
        <x:is>
          <x:t xml:space="preserve">FNBO Financial Wellbeing Study 2025; NerdWallet/Harris Poll 2026; PlanAdviser 2026</x:t>
        </x:is>
      </x:c>
      <x:c r="AE206" s="11">
        <x:f>IF(O206="High",20,IF(O206="Medium",10,IF(O206="Low",5,0)))+IF(P206="High",20,IF(P206="Medium",10,IF(P206="Low",5,0)))+IF(Q206="High",20,IF(Q206="Medium",10,IF(Q206="Low",5,0)))+IF(R206="High",20,IF(R206="Medium",10,IF(R206="Low",5,0)))+IF(S206="High",20,IF(S206="Medium",10,IF(S206="Low",5,0)))</x:f>
        <x:v>55</x:v>
      </x:c>
      <x:c r="AF206" s="12">
        <x:f>ROUND(H206*0.30+J206*0.25+K206*0.20+(100-AE206)*0.10+(100-(V206*20))*0.15,0)</x:f>
        <x:v>57</x:v>
      </x:c>
      <x:c r="AG206" s="13" t="str">
        <x:f>IF(AF206&gt;=80,"Batch 1",IF(AF206&gt;=70,"Batch 2",IF(AF206&gt;=60,"Batch 3","Backlog")))</x:f>
        <x:v>Backlog</x:v>
      </x:c>
      <x:c r="AH206" t="inlineStr">
        <x:is>
          <x:t xml:space="preserve"/>
        </x:is>
      </x:c>
    </x:row>
    <x:row r="207">
      <x:c r="A207" s="5" t="inlineStr">
        <x:is>
          <x:t xml:space="preserve">GPO-SHO-18</x:t>
        </x:is>
      </x:c>
      <x:c r="B207" s="5" t="n">
        <x:v>203</x:v>
      </x:c>
      <x:c r="C207" s="5" t="inlineStr">
        <x:is>
          <x:t xml:space="preserve">Shopping &amp; Buying Advisor</x:t>
        </x:is>
      </x:c>
      <x:c r="D207" s="5" t="inlineStr">
        <x:is>
          <x:t xml:space="preserve">Buy</x:t>
        </x:is>
      </x:c>
      <x:c r="E207" s="5" t="inlineStr">
        <x:is>
          <x:t xml:space="preserve">Expansion 150</x:t>
        </x:is>
      </x:c>
      <x:c r="F207" s="5" t="n">
        <x:v>18</x:v>
      </x:c>
      <x:c r="G207" s="5" t="inlineStr">
        <x:is>
          <x:t xml:space="preserve">Tell me what accessories I actually need versus upsells for web app.</x:t>
        </x:is>
      </x:c>
      <x:c r="H207" s="6" t="n">
        <x:v>48</x:v>
      </x:c>
      <x:c r="I207" s="6" t="n">
        <x:v>48</x:v>
      </x:c>
      <x:c r="J207" s="7" t="n">
        <x:v>71</x:v>
      </x:c>
      <x:c r="K207" s="7" t="n">
        <x:v>58</x:v>
      </x:c>
      <x:c r="L207" s="8" t="inlineStr">
        <x:is>
          <x:t xml:space="preserve">UNTESTED</x:t>
        </x:is>
      </x:c>
      <x:c r="M207" s="9" t="inlineStr">
        <x:is>
          <x:t xml:space="preserve">UNTESTED</x:t>
        </x:is>
      </x:c>
      <x:c r="N207" s="5" t="inlineStr">
        <x:is>
          <x:t xml:space="preserve">web/product research; comparison; price-value reasoning; shortlist generation</x:t>
        </x:is>
      </x:c>
      <x:c r="O207" s="5" t="inlineStr">
        <x:is>
          <x:t xml:space="preserve">High</x:t>
        </x:is>
      </x:c>
      <x:c r="P207" s="5" t="inlineStr">
        <x:is>
          <x:t xml:space="preserve">Medium</x:t>
        </x:is>
      </x:c>
      <x:c r="Q207" s="5" t="inlineStr">
        <x:is>
          <x:t xml:space="preserve">Medium</x:t>
        </x:is>
      </x:c>
      <x:c r="R207" s="5" t="inlineStr">
        <x:is>
          <x:t xml:space="preserve">Low</x:t>
        </x:is>
      </x:c>
      <x:c r="S207" s="5" t="inlineStr">
        <x:is>
          <x:t xml:space="preserve">Low</x:t>
        </x:is>
      </x:c>
      <x:c r="T207" s="5" t="inlineStr">
        <x:is>
          <x:t xml:space="preserve">ChatGPT with web</x:t>
        </x:is>
      </x:c>
      <x:c r="U207" s="5" t="inlineStr">
        <x:is>
          <x:t xml:space="preserve">Easy</x:t>
        </x:is>
      </x:c>
      <x:c r="V207" s="10" t="n">
        <x:v>1</x:v>
      </x:c>
      <x:c r="W207" s="5" t="inlineStr">
        <x:is>
          <x:t xml:space="preserve">Live shopping query + recommendation validation</x:t>
        </x:is>
      </x:c>
      <x:c r="X207" s="5" t="inlineStr">
        <x:is>
          <x:t xml:space="preserve">shortlist / recommendation / comparison / cart plan</x:t>
        </x:is>
      </x:c>
      <x:c r="Y207" s="5" t="inlineStr">
        <x:is>
          <x:t xml:space="preserve">Recommendation fits constraints and explains tradeoffs clearly.</x:t>
        </x:is>
      </x:c>
      <x:c r="Z207" s="5" t="inlineStr">
        <x:is>
          <x:t xml:space="preserve">Outdated products, poor fit, missed constraints, or shallow comparison.</x:t>
        </x:is>
      </x:c>
      <x:c r="AA207" s="5" t="inlineStr">
        <x:is>
          <x:t xml:space="preserve">web/product retrieval / comparison template / user preference memory</x:t>
        </x:is>
      </x:c>
      <x:c r="AB207" s="5" t="inlineStr">
        <x:is>
          <x:t xml:space="preserve"/>
        </x:is>
      </x:c>
      <x:c r="AC207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07" s="5" t="inlineStr">
        <x:is>
          <x:t xml:space="preserve">Deloitte Connected Consumer 2025; Salesforce Connected Shopper 2025; IAB 2025 shopping study</x:t>
        </x:is>
      </x:c>
      <x:c r="AE207" s="11">
        <x:f>IF(O207="High",20,IF(O207="Medium",10,IF(O207="Low",5,0)))+IF(P207="High",20,IF(P207="Medium",10,IF(P207="Low",5,0)))+IF(Q207="High",20,IF(Q207="Medium",10,IF(Q207="Low",5,0)))+IF(R207="High",20,IF(R207="Medium",10,IF(R207="Low",5,0)))+IF(S207="High",20,IF(S207="Medium",10,IF(S207="Low",5,0)))</x:f>
        <x:v>50</x:v>
      </x:c>
      <x:c r="AF207" s="12">
        <x:f>ROUND(H207*0.30+J207*0.25+K207*0.20+(100-AE207)*0.10+(100-(V207*20))*0.15,0)</x:f>
        <x:v>61</x:v>
      </x:c>
      <x:c r="AG207" s="13" t="str">
        <x:f>IF(AF207&gt;=80,"Batch 1",IF(AF207&gt;=70,"Batch 2",IF(AF207&gt;=60,"Batch 3","Backlog")))</x:f>
        <x:v>Batch 3</x:v>
      </x:c>
      <x:c r="AH207" t="inlineStr">
        <x:is>
          <x:t xml:space="preserve"/>
        </x:is>
      </x:c>
    </x:row>
    <x:row r="208">
      <x:c r="A208" s="5" t="inlineStr">
        <x:is>
          <x:t xml:space="preserve">GPO-SCR-10</x:t>
        </x:is>
      </x:c>
      <x:c r="B208" s="5" t="n">
        <x:v>204</x:v>
      </x:c>
      <x:c r="C208" s="5" t="inlineStr">
        <x:is>
          <x:t xml:space="preserve">Screenwriting &amp; Story Development</x:t>
        </x:is>
      </x:c>
      <x:c r="D208" s="5" t="inlineStr">
        <x:is>
          <x:t xml:space="preserve">Create</x:t>
        </x:is>
      </x:c>
      <x:c r="E208" s="5" t="inlineStr">
        <x:is>
          <x:t xml:space="preserve">Core 150</x:t>
        </x:is>
      </x:c>
      <x:c r="F208" s="5" t="n">
        <x:v>10</x:v>
      </x:c>
      <x:c r="G208" s="5" t="inlineStr">
        <x:is>
          <x:t xml:space="preserve">Map character arcs so every major player changes or reveals something meaningful.</x:t>
        </x:is>
      </x:c>
      <x:c r="H208" s="6" t="n">
        <x:v>48</x:v>
      </x:c>
      <x:c r="I208" s="6" t="n">
        <x:v>48</x:v>
      </x:c>
      <x:c r="J208" s="7" t="n">
        <x:v>70</x:v>
      </x:c>
      <x:c r="K208" s="7" t="n">
        <x:v>58</x:v>
      </x:c>
      <x:c r="L208" s="8" t="inlineStr">
        <x:is>
          <x:t xml:space="preserve">UNTESTED</x:t>
        </x:is>
      </x:c>
      <x:c r="M208" s="9" t="inlineStr">
        <x:is>
          <x:t xml:space="preserve">UNTESTED</x:t>
        </x:is>
      </x:c>
      <x:c r="N208" s="5" t="inlineStr">
        <x:is>
          <x:t xml:space="preserve">creative ideation; story structure; tone control; character design</x:t>
        </x:is>
      </x:c>
      <x:c r="O208" s="5" t="inlineStr">
        <x:is>
          <x:t xml:space="preserve">Low</x:t>
        </x:is>
      </x:c>
      <x:c r="P208" s="5" t="inlineStr">
        <x:is>
          <x:t xml:space="preserve">Medium</x:t>
        </x:is>
      </x:c>
      <x:c r="Q208" s="5" t="inlineStr">
        <x:is>
          <x:t xml:space="preserve">Low</x:t>
        </x:is>
      </x:c>
      <x:c r="R208" s="5" t="inlineStr">
        <x:is>
          <x:t xml:space="preserve">Low</x:t>
        </x:is>
      </x:c>
      <x:c r="S208" s="5" t="inlineStr">
        <x:is>
          <x:t xml:space="preserve">Low</x:t>
        </x:is>
      </x:c>
      <x:c r="T208" s="5" t="inlineStr">
        <x:is>
          <x:t xml:space="preserve">ChatGPT or Claude creative mode</x:t>
        </x:is>
      </x:c>
      <x:c r="U208" s="5" t="inlineStr">
        <x:is>
          <x:t xml:space="preserve">Easy</x:t>
        </x:is>
      </x:c>
      <x:c r="V208" s="10" t="n">
        <x:v>1</x:v>
      </x:c>
      <x:c r="W208" s="5" t="inlineStr">
        <x:is>
          <x:t xml:space="preserve">Creative prompt run + human taste review</x:t>
        </x:is>
      </x:c>
      <x:c r="X208" s="5" t="inlineStr">
        <x:is>
          <x:t xml:space="preserve">logline / outline / scene rewrite / treatment</x:t>
        </x:is>
      </x:c>
      <x:c r="Y208" s="5" t="inlineStr">
        <x:is>
          <x:t xml:space="preserve">Story work feels coherent, original, and emotionally alive.</x:t>
        </x:is>
      </x:c>
      <x:c r="Z208" s="5" t="inlineStr">
        <x:is>
          <x:t xml:space="preserve">Cliche ideas, flat dialogue, weak stakes, or no tonal discipline.</x:t>
        </x:is>
      </x:c>
      <x:c r="AA208" s="5" t="inlineStr">
        <x:is>
          <x:t xml:space="preserve">creative mode / style packs / development workflow</x:t>
        </x:is>
      </x:c>
      <x:c r="AB208" s="5" t="inlineStr">
        <x:is>
          <x:t xml:space="preserve"/>
        </x:is>
      </x:c>
      <x:c r="AC208" s="5" t="inlineStr">
        <x:is>
          <x:t xml:space="preserve">OpenAI practical guidance includes creative ideation; creator surveys show broad use of generative AI in creative workflows.</x:t>
        </x:is>
      </x:c>
      <x:c r="AD208" s="5" t="inlineStr">
        <x:is>
          <x:t xml:space="preserve">OpenAI How People Use ChatGPT paper; Adobe creators survey 2025; Wondercraft/Digiday creator workflow survey 2025</x:t>
        </x:is>
      </x:c>
      <x:c r="AE208" s="11">
        <x:f>IF(O208="High",20,IF(O208="Medium",10,IF(O208="Low",5,0)))+IF(P208="High",20,IF(P208="Medium",10,IF(P208="Low",5,0)))+IF(Q208="High",20,IF(Q208="Medium",10,IF(Q208="Low",5,0)))+IF(R208="High",20,IF(R208="Medium",10,IF(R208="Low",5,0)))+IF(S208="High",20,IF(S208="Medium",10,IF(S208="Low",5,0)))</x:f>
        <x:v>30</x:v>
      </x:c>
      <x:c r="AF208" s="12">
        <x:f>ROUND(H208*0.30+J208*0.25+K208*0.20+(100-AE208)*0.10+(100-(V208*20))*0.15,0)</x:f>
        <x:v>63</x:v>
      </x:c>
      <x:c r="AG208" s="13" t="str">
        <x:f>IF(AF208&gt;=80,"Batch 1",IF(AF208&gt;=70,"Batch 2",IF(AF208&gt;=60,"Batch 3","Backlog")))</x:f>
        <x:v>Batch 3</x:v>
      </x:c>
      <x:c r="AH208" t="inlineStr">
        <x:is>
          <x:t xml:space="preserve"/>
        </x:is>
      </x:c>
    </x:row>
    <x:row r="209">
      <x:c r="A209" s="5" t="inlineStr">
        <x:is>
          <x:t xml:space="preserve">GPO-TRA-17</x:t>
        </x:is>
      </x:c>
      <x:c r="B209" s="5" t="n">
        <x:v>205</x:v>
      </x:c>
      <x:c r="C209" s="5" t="inlineStr">
        <x:is>
          <x:t xml:space="preserve">Travel &amp; Relocation Planner</x:t>
        </x:is>
      </x:c>
      <x:c r="D209" s="5" t="inlineStr">
        <x:is>
          <x:t xml:space="preserve">Move</x:t>
        </x:is>
      </x:c>
      <x:c r="E209" s="5" t="inlineStr">
        <x:is>
          <x:t xml:space="preserve">Expansion 150</x:t>
        </x:is>
      </x:c>
      <x:c r="F209" s="5" t="n">
        <x:v>17</x:v>
      </x:c>
      <x:c r="G209" s="5" t="inlineStr">
        <x:is>
          <x:t xml:space="preserve">Recommend a honeymoon/family/solo travel plan that fits my style.</x:t>
        </x:is>
      </x:c>
      <x:c r="H209" s="6" t="n">
        <x:v>48</x:v>
      </x:c>
      <x:c r="I209" s="6" t="n">
        <x:v>48</x:v>
      </x:c>
      <x:c r="J209" s="7" t="n">
        <x:v>70</x:v>
      </x:c>
      <x:c r="K209" s="7" t="n">
        <x:v>58</x:v>
      </x:c>
      <x:c r="L209" s="8" t="inlineStr">
        <x:is>
          <x:t xml:space="preserve">UNTESTED</x:t>
        </x:is>
      </x:c>
      <x:c r="M209" s="9" t="inlineStr">
        <x:is>
          <x:t xml:space="preserve">UNTESTED</x:t>
        </x:is>
      </x:c>
      <x:c r="N209" s="5" t="inlineStr">
        <x:is>
          <x:t xml:space="preserve">travel research; itinerary planning; logistics reasoning; contingency planning</x:t>
        </x:is>
      </x:c>
      <x:c r="O209" s="5" t="inlineStr">
        <x:is>
          <x:t xml:space="preserve">High</x:t>
        </x:is>
      </x:c>
      <x:c r="P209" s="5" t="inlineStr">
        <x:is>
          <x:t xml:space="preserve">Medium</x:t>
        </x:is>
      </x:c>
      <x:c r="Q209" s="5" t="inlineStr">
        <x:is>
          <x:t xml:space="preserve">Medium</x:t>
        </x:is>
      </x:c>
      <x:c r="R209" s="5" t="inlineStr">
        <x:is>
          <x:t xml:space="preserve">Low</x:t>
        </x:is>
      </x:c>
      <x:c r="S209" s="5" t="inlineStr">
        <x:is>
          <x:t xml:space="preserve">Low</x:t>
        </x:is>
      </x:c>
      <x:c r="T209" s="5" t="inlineStr">
        <x:is>
          <x:t xml:space="preserve">ChatGPT with web; maps/calendar later</x:t>
        </x:is>
      </x:c>
      <x:c r="U209" s="5" t="inlineStr">
        <x:is>
          <x:t xml:space="preserve">Medium</x:t>
        </x:is>
      </x:c>
      <x:c r="V209" s="10" t="n">
        <x:v>2</x:v>
      </x:c>
      <x:c r="W209" s="5" t="inlineStr">
        <x:is>
          <x:t xml:space="preserve">Live trip planning + feasibility review</x:t>
        </x:is>
      </x:c>
      <x:c r="X209" s="5" t="inlineStr">
        <x:is>
          <x:t xml:space="preserve">itinerary / relocation plan / checklist</x:t>
        </x:is>
      </x:c>
      <x:c r="Y209" s="5" t="inlineStr">
        <x:is>
          <x:t xml:space="preserve">Plan is current, geographically sensible, and tuned to budget/constraints.</x:t>
        </x:is>
      </x:c>
      <x:c r="Z209" s="5" t="inlineStr">
        <x:is>
          <x:t xml:space="preserve">Bad logistics, stale info, wrong timing, or generic travel advice.</x:t>
        </x:is>
      </x:c>
      <x:c r="AA209" s="5" t="inlineStr">
        <x:is>
          <x:t xml:space="preserve">travel templates / web + mapping integration / logistics engine</x:t>
        </x:is>
      </x:c>
      <x:c r="AB209" s="5" t="inlineStr">
        <x:is>
          <x:t xml:space="preserve"/>
        </x:is>
      </x:c>
      <x:c r="AC20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09" s="5" t="inlineStr">
        <x:is>
          <x:t xml:space="preserve">Deloitte Connected Consumer 2025; Adobe travel planning 2025</x:t>
        </x:is>
      </x:c>
      <x:c r="AE209" s="11">
        <x:f>IF(O209="High",20,IF(O209="Medium",10,IF(O209="Low",5,0)))+IF(P209="High",20,IF(P209="Medium",10,IF(P209="Low",5,0)))+IF(Q209="High",20,IF(Q209="Medium",10,IF(Q209="Low",5,0)))+IF(R209="High",20,IF(R209="Medium",10,IF(R209="Low",5,0)))+IF(S209="High",20,IF(S209="Medium",10,IF(S209="Low",5,0)))</x:f>
        <x:v>50</x:v>
      </x:c>
      <x:c r="AF209" s="12">
        <x:f>ROUND(H209*0.30+J209*0.25+K209*0.20+(100-AE209)*0.10+(100-(V209*20))*0.15,0)</x:f>
        <x:v>58</x:v>
      </x:c>
      <x:c r="AG209" s="13" t="str">
        <x:f>IF(AF209&gt;=80,"Batch 1",IF(AF209&gt;=70,"Batch 2",IF(AF209&gt;=60,"Batch 3","Backlog")))</x:f>
        <x:v>Backlog</x:v>
      </x:c>
      <x:c r="AH209" t="inlineStr">
        <x:is>
          <x:t xml:space="preserve"/>
        </x:is>
      </x:c>
    </x:row>
    <x:row r="210">
      <x:c r="A210" s="5" t="inlineStr">
        <x:is>
          <x:t xml:space="preserve">GPO-CAR-15</x:t>
        </x:is>
      </x:c>
      <x:c r="B210" s="5" t="n">
        <x:v>206</x:v>
      </x:c>
      <x:c r="C210" s="5" t="inlineStr">
        <x:is>
          <x:t xml:space="preserve">Career &amp; Job Search</x:t>
        </x:is>
      </x:c>
      <x:c r="D210" s="5" t="inlineStr">
        <x:is>
          <x:t xml:space="preserve">Advance</x:t>
        </x:is>
      </x:c>
      <x:c r="E210" s="5" t="inlineStr">
        <x:is>
          <x:t xml:space="preserve">Expansion 150</x:t>
        </x:is>
      </x:c>
      <x:c r="F210" s="5" t="n">
        <x:v>15</x:v>
      </x:c>
      <x:c r="G210" s="5" t="inlineStr">
        <x:is>
          <x:t xml:space="preserve">Research salaries and leveling so I know what I’m actually worth.</x:t>
        </x:is>
      </x:c>
      <x:c r="H210" s="6" t="n">
        <x:v>46</x:v>
      </x:c>
      <x:c r="I210" s="6" t="n">
        <x:v>46</x:v>
      </x:c>
      <x:c r="J210" s="7" t="n">
        <x:v>73</x:v>
      </x:c>
      <x:c r="K210" s="7" t="n">
        <x:v>58</x:v>
      </x:c>
      <x:c r="L210" s="8" t="inlineStr">
        <x:is>
          <x:t xml:space="preserve">UNTESTED</x:t>
        </x:is>
      </x:c>
      <x:c r="M210" s="9" t="inlineStr">
        <x:is>
          <x:t xml:space="preserve">UNTESTED</x:t>
        </x:is>
      </x:c>
      <x:c r="N210" s="5" t="inlineStr">
        <x:is>
          <x:t xml:space="preserve">resume tailoring; interview prep; role mapping; narrative building</x:t>
        </x:is>
      </x:c>
      <x:c r="O210" s="5" t="inlineStr">
        <x:is>
          <x:t xml:space="preserve">Medium</x:t>
        </x:is>
      </x:c>
      <x:c r="P210" s="5" t="inlineStr">
        <x:is>
          <x:t xml:space="preserve">High</x:t>
        </x:is>
      </x:c>
      <x:c r="Q210" s="5" t="inlineStr">
        <x:is>
          <x:t xml:space="preserve">Low</x:t>
        </x:is>
      </x:c>
      <x:c r="R210" s="5" t="inlineStr">
        <x:is>
          <x:t xml:space="preserve">Low</x:t>
        </x:is>
      </x:c>
      <x:c r="S210" s="5" t="inlineStr">
        <x:is>
          <x:t xml:space="preserve">Low</x:t>
        </x:is>
      </x:c>
      <x:c r="T210" s="5" t="inlineStr">
        <x:is>
          <x:t xml:space="preserve">ChatGPT primary</x:t>
        </x:is>
      </x:c>
      <x:c r="U210" s="5" t="inlineStr">
        <x:is>
          <x:t xml:space="preserve">Easy</x:t>
        </x:is>
      </x:c>
      <x:c r="V210" s="10" t="n">
        <x:v>1</x:v>
      </x:c>
      <x:c r="W210" s="5" t="inlineStr">
        <x:is>
          <x:t xml:space="preserve">Artifact review + mock interview + targeting review</x:t>
        </x:is>
      </x:c>
      <x:c r="X210" s="5" t="inlineStr">
        <x:is>
          <x:t xml:space="preserve">resume / prep plan / outreach / strategy memo</x:t>
        </x:is>
      </x:c>
      <x:c r="Y210" s="5" t="inlineStr">
        <x:is>
          <x:t xml:space="preserve">Career outputs are specific, credible, and materially improve positioning.</x:t>
        </x:is>
      </x:c>
      <x:c r="Z210" s="5" t="inlineStr">
        <x:is>
          <x:t xml:space="preserve">Generic resume language, fake-sounding stories, or weak role fit.</x:t>
        </x:is>
      </x:c>
      <x:c r="AA210" s="5" t="inlineStr">
        <x:is>
          <x:t xml:space="preserve">career templates / memory / ATS-aware output logic</x:t>
        </x:is>
      </x:c>
      <x:c r="AB210" s="5" t="inlineStr">
        <x:is>
          <x:t xml:space="preserve"/>
        </x:is>
      </x:c>
      <x:c r="AC210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10" s="5" t="inlineStr">
        <x:is>
          <x:t xml:space="preserve">Insight Global AI in Hiring Report 2025; NACE student survey 2025/2026</x:t>
        </x:is>
      </x:c>
      <x:c r="AE210" s="11">
        <x:f>IF(O210="High",20,IF(O210="Medium",10,IF(O210="Low",5,0)))+IF(P210="High",20,IF(P210="Medium",10,IF(P210="Low",5,0)))+IF(Q210="High",20,IF(Q210="Medium",10,IF(Q210="Low",5,0)))+IF(R210="High",20,IF(R210="Medium",10,IF(R210="Low",5,0)))+IF(S210="High",20,IF(S210="Medium",10,IF(S210="Low",5,0)))</x:f>
        <x:v>45</x:v>
      </x:c>
      <x:c r="AF210" s="12">
        <x:f>ROUND(H210*0.30+J210*0.25+K210*0.20+(100-AE210)*0.10+(100-(V210*20))*0.15,0)</x:f>
        <x:v>61</x:v>
      </x:c>
      <x:c r="AG210" s="13" t="str">
        <x:f>IF(AF210&gt;=80,"Batch 1",IF(AF210&gt;=70,"Batch 2",IF(AF210&gt;=60,"Batch 3","Backlog")))</x:f>
        <x:v>Batch 3</x:v>
      </x:c>
      <x:c r="AH210" t="inlineStr">
        <x:is>
          <x:t xml:space="preserve"/>
        </x:is>
      </x:c>
    </x:row>
    <x:row r="211">
      <x:c r="A211" s="5" t="inlineStr">
        <x:is>
          <x:t xml:space="preserve">GPO-SCH-20</x:t>
        </x:is>
      </x:c>
      <x:c r="B211" s="5" t="n">
        <x:v>207</x:v>
      </x:c>
      <x:c r="C211" s="5" t="inlineStr">
        <x:is>
          <x:t xml:space="preserve">Scheduling &amp; Life Operations</x:t>
        </x:is>
      </x:c>
      <x:c r="D211" s="5" t="inlineStr">
        <x:is>
          <x:t xml:space="preserve">Operate</x:t>
        </x:is>
      </x:c>
      <x:c r="E211" s="5" t="inlineStr">
        <x:is>
          <x:t xml:space="preserve">Expansion 150</x:t>
        </x:is>
      </x:c>
      <x:c r="F211" s="5" t="n">
        <x:v>20</x:v>
      </x:c>
      <x:c r="G211" s="5" t="inlineStr">
        <x:is>
          <x:t xml:space="preserve">Create the exact agenda and prep checklist for tomorrow based on everything pending.</x:t>
        </x:is>
      </x:c>
      <x:c r="H211" s="6" t="n">
        <x:v>47</x:v>
      </x:c>
      <x:c r="I211" s="6" t="n">
        <x:v>47</x:v>
      </x:c>
      <x:c r="J211" s="7" t="n">
        <x:v>71</x:v>
      </x:c>
      <x:c r="K211" s="7" t="n">
        <x:v>58</x:v>
      </x:c>
      <x:c r="L211" s="8" t="inlineStr">
        <x:is>
          <x:t xml:space="preserve">UNTESTED</x:t>
        </x:is>
      </x:c>
      <x:c r="M211" s="9" t="inlineStr">
        <x:is>
          <x:t xml:space="preserve">UNTESTED</x:t>
        </x:is>
      </x:c>
      <x:c r="N211" s="5" t="inlineStr">
        <x:is>
          <x:t xml:space="preserve">task planning; prioritization; calendar reasoning; personal constraints handling</x:t>
        </x:is>
      </x:c>
      <x:c r="O211" s="5" t="inlineStr">
        <x:is>
          <x:t xml:space="preserve">Low</x:t>
        </x:is>
      </x:c>
      <x:c r="P211" s="5" t="inlineStr">
        <x:is>
          <x:t xml:space="preserve">High</x:t>
        </x:is>
      </x:c>
      <x:c r="Q211" s="5" t="inlineStr">
        <x:is>
          <x:t xml:space="preserve">Medium</x:t>
        </x:is>
      </x:c>
      <x:c r="R211" s="5" t="inlineStr">
        <x:is>
          <x:t xml:space="preserve">Low</x:t>
        </x:is>
      </x:c>
      <x:c r="S211" s="5" t="inlineStr">
        <x:is>
          <x:t xml:space="preserve">Low</x:t>
        </x:is>
      </x:c>
      <x:c r="T211" s="5" t="inlineStr">
        <x:is>
          <x:t xml:space="preserve">ChatGPT primary; calendar integrations later</x:t>
        </x:is>
      </x:c>
      <x:c r="U211" s="5" t="inlineStr">
        <x:is>
          <x:t xml:space="preserve">Easy</x:t>
        </x:is>
      </x:c>
      <x:c r="V211" s="10" t="n">
        <x:v>1</x:v>
      </x:c>
      <x:c r="W211" s="5" t="inlineStr">
        <x:is>
          <x:t xml:space="preserve">Scenario-based planning + operator utility review</x:t>
        </x:is>
      </x:c>
      <x:c r="X211" s="5" t="inlineStr">
        <x:is>
          <x:t xml:space="preserve">schedule / checklist / operating plan</x:t>
        </x:is>
      </x:c>
      <x:c r="Y211" s="5" t="inlineStr">
        <x:is>
          <x:t xml:space="preserve">Plan is realistic, prioritized, and executable under stated constraints.</x:t>
        </x:is>
      </x:c>
      <x:c r="Z211" s="5" t="inlineStr">
        <x:is>
          <x:t xml:space="preserve">Overpacked schedule, ignored constraints, or vague next steps.</x:t>
        </x:is>
      </x:c>
      <x:c r="AA211" s="5" t="inlineStr">
        <x:is>
          <x:t xml:space="preserve">planner engine / memory / calendar-tool integration</x:t>
        </x:is>
      </x:c>
      <x:c r="AB211" s="5" t="inlineStr">
        <x:is>
          <x:t xml:space="preserve"/>
        </x:is>
      </x:c>
      <x:c r="AC211" s="5" t="inlineStr">
        <x:is>
          <x:t xml:space="preserve">Menlo consumer AI: 18% use AI to manage to-do lists and 15% to organize notes; Zao-Sanders ranked 'Organise my life' #2.</x:t>
        </x:is>
      </x:c>
      <x:c r="AD211" s="5" t="inlineStr">
        <x:is>
          <x:t xml:space="preserve">Menlo State of Consumer AI 2025; Zao-Sanders Top-100 GenAI Use Cases 2025</x:t>
        </x:is>
      </x:c>
      <x:c r="AE211" s="11">
        <x:f>IF(O211="High",20,IF(O211="Medium",10,IF(O211="Low",5,0)))+IF(P211="High",20,IF(P211="Medium",10,IF(P211="Low",5,0)))+IF(Q211="High",20,IF(Q211="Medium",10,IF(Q211="Low",5,0)))+IF(R211="High",20,IF(R211="Medium",10,IF(R211="Low",5,0)))+IF(S211="High",20,IF(S211="Medium",10,IF(S211="Low",5,0)))</x:f>
        <x:v>45</x:v>
      </x:c>
      <x:c r="AF211" s="12">
        <x:f>ROUND(H211*0.30+J211*0.25+K211*0.20+(100-AE211)*0.10+(100-(V211*20))*0.15,0)</x:f>
        <x:v>61</x:v>
      </x:c>
      <x:c r="AG211" s="13" t="str">
        <x:f>IF(AF211&gt;=80,"Batch 1",IF(AF211&gt;=70,"Batch 2",IF(AF211&gt;=60,"Batch 3","Backlog")))</x:f>
        <x:v>Batch 3</x:v>
      </x:c>
      <x:c r="AH211" t="inlineStr">
        <x:is>
          <x:t xml:space="preserve"/>
        </x:is>
      </x:c>
    </x:row>
    <x:row r="212">
      <x:c r="A212" s="5" t="inlineStr">
        <x:is>
          <x:t xml:space="preserve">GPO-HEA-11</x:t>
        </x:is>
      </x:c>
      <x:c r="B212" s="5" t="n">
        <x:v>208</x:v>
      </x:c>
      <x:c r="C212" s="5" t="inlineStr">
        <x:is>
          <x:t xml:space="preserve">Health &amp; Wellness Coach</x:t>
        </x:is>
      </x:c>
      <x:c r="D212" s="5" t="inlineStr">
        <x:is>
          <x:t xml:space="preserve">Care</x:t>
        </x:is>
      </x:c>
      <x:c r="E212" s="5" t="inlineStr">
        <x:is>
          <x:t xml:space="preserve">Expansion 150</x:t>
        </x:is>
      </x:c>
      <x:c r="F212" s="5" t="n">
        <x:v>11</x:v>
      </x:c>
      <x:c r="G212" s="5" t="inlineStr">
        <x:is>
          <x:t xml:space="preserve">Help me track symptoms/triggers and spot patterns worth discussing with a clinician.</x:t>
        </x:is>
      </x:c>
      <x:c r="H212" s="6" t="n">
        <x:v>59</x:v>
      </x:c>
      <x:c r="I212" s="6" t="n">
        <x:v>59</x:v>
      </x:c>
      <x:c r="J212" s="7" t="n">
        <x:v>54</x:v>
      </x:c>
      <x:c r="K212" s="7" t="n">
        <x:v>57</x:v>
      </x:c>
      <x:c r="L212" s="8" t="inlineStr">
        <x:is>
          <x:t xml:space="preserve">UNTESTED</x:t>
        </x:is>
      </x:c>
      <x:c r="M212" s="9" t="inlineStr">
        <x:is>
          <x:t xml:space="preserve">UNTESTED</x:t>
        </x:is>
      </x:c>
      <x:c r="N212" s="5" t="inlineStr">
        <x:is>
          <x:t xml:space="preserve">health explanation; risk framing; behavior coaching; careful disclaimer handling</x:t>
        </x:is>
      </x:c>
      <x:c r="O212" s="5" t="inlineStr">
        <x:is>
          <x:t xml:space="preserve">Medium</x:t>
        </x:is>
      </x:c>
      <x:c r="P212" s="5" t="inlineStr">
        <x:is>
          <x:t xml:space="preserve">High</x:t>
        </x:is>
      </x:c>
      <x:c r="Q212" s="5" t="inlineStr">
        <x:is>
          <x:t xml:space="preserve">Low</x:t>
        </x:is>
      </x:c>
      <x:c r="R212" s="5" t="inlineStr">
        <x:is>
          <x:t xml:space="preserve">Low</x:t>
        </x:is>
      </x:c>
      <x:c r="S212" s="5" t="inlineStr">
        <x:is>
          <x:t xml:space="preserve">Medium</x:t>
        </x:is>
      </x:c>
      <x:c r="T212" s="5" t="inlineStr">
        <x:is>
          <x:t xml:space="preserve">ChatGPT primary with careful guardrails</x:t>
        </x:is>
      </x:c>
      <x:c r="U212" s="5" t="inlineStr">
        <x:is>
          <x:t xml:space="preserve">Medium</x:t>
        </x:is>
      </x:c>
      <x:c r="V212" s="10" t="n">
        <x:v>2</x:v>
      </x:c>
      <x:c r="W212" s="5" t="inlineStr">
        <x:is>
          <x:t xml:space="preserve">Scenario prompts + safety review + usefulness review</x:t>
        </x:is>
      </x:c>
      <x:c r="X212" s="5" t="inlineStr">
        <x:is>
          <x:t xml:space="preserve">plan / explanation / checklist / prep brief</x:t>
        </x:is>
      </x:c>
      <x:c r="Y212" s="5" t="inlineStr">
        <x:is>
          <x:t xml:space="preserve">Useful, cautious, practical guidance that stays within safe boundaries.</x:t>
        </x:is>
      </x:c>
      <x:c r="Z212" s="5" t="inlineStr">
        <x:is>
          <x:t xml:space="preserve">Overconfident medical claims, weak escalation guidance, or unsafe advice.</x:t>
        </x:is>
      </x:c>
      <x:c r="AA212" s="5" t="inlineStr">
        <x:is>
          <x:t xml:space="preserve">safety layer / health mode / evidence grounding</x:t>
        </x:is>
      </x:c>
      <x:c r="AB212" s="5" t="inlineStr">
        <x:is>
          <x:t xml:space="preserve"/>
        </x:is>
      </x:c>
      <x:c r="AC212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12" s="5" t="inlineStr">
        <x:is>
          <x:t xml:space="preserve">OpenAI Introducing GPT-5; APPC 2025 health survey; Deloitte Connected Consumer 2025</x:t>
        </x:is>
      </x:c>
      <x:c r="AE212" s="11">
        <x:f>IF(O212="High",20,IF(O212="Medium",10,IF(O212="Low",5,0)))+IF(P212="High",20,IF(P212="Medium",10,IF(P212="Low",5,0)))+IF(Q212="High",20,IF(Q212="Medium",10,IF(Q212="Low",5,0)))+IF(R212="High",20,IF(R212="Medium",10,IF(R212="Low",5,0)))+IF(S212="High",20,IF(S212="Medium",10,IF(S212="Low",5,0)))</x:f>
        <x:v>50</x:v>
      </x:c>
      <x:c r="AF212" s="12">
        <x:f>ROUND(H212*0.30+J212*0.25+K212*0.20+(100-AE212)*0.10+(100-(V212*20))*0.15,0)</x:f>
        <x:v>57</x:v>
      </x:c>
      <x:c r="AG212" s="13" t="str">
        <x:f>IF(AF212&gt;=80,"Batch 1",IF(AF212&gt;=70,"Batch 2",IF(AF212&gt;=60,"Batch 3","Backlog")))</x:f>
        <x:v>Backlog</x:v>
      </x:c>
      <x:c r="AH212" t="inlineStr">
        <x:is>
          <x:t xml:space="preserve"/>
        </x:is>
      </x:c>
    </x:row>
    <x:row r="213">
      <x:c r="A213" s="5" t="inlineStr">
        <x:is>
          <x:t xml:space="preserve">GPO-HOM-03</x:t>
        </x:is>
      </x:c>
      <x:c r="B213" s="5" t="n">
        <x:v>209</x:v>
      </x:c>
      <x:c r="C213" s="5" t="inlineStr">
        <x:is>
          <x:t xml:space="preserve">Home &amp; Lifestyle Design</x:t>
        </x:is>
      </x:c>
      <x:c r="D213" s="5" t="inlineStr">
        <x:is>
          <x:t xml:space="preserve">Design</x:t>
        </x:is>
      </x:c>
      <x:c r="E213" s="5" t="inlineStr">
        <x:is>
          <x:t xml:space="preserve">Core 150</x:t>
        </x:is>
      </x:c>
      <x:c r="F213" s="5" t="n">
        <x:v>3</x:v>
      </x:c>
      <x:c r="G213" s="5" t="inlineStr">
        <x:is>
          <x:t xml:space="preserve">Help me design a premium home theater with the best tradeoffs for my space.</x:t>
        </x:is>
      </x:c>
      <x:c r="H213" s="6" t="n">
        <x:v>46</x:v>
      </x:c>
      <x:c r="I213" s="6" t="n">
        <x:v>46</x:v>
      </x:c>
      <x:c r="J213" s="7" t="n">
        <x:v>72</x:v>
      </x:c>
      <x:c r="K213" s="7" t="n">
        <x:v>58</x:v>
      </x:c>
      <x:c r="L213" s="8" t="inlineStr">
        <x:is>
          <x:t xml:space="preserve">UNTESTED</x:t>
        </x:is>
      </x:c>
      <x:c r="M213" s="9" t="inlineStr">
        <x:is>
          <x:t xml:space="preserve">UNTESTED</x:t>
        </x:is>
      </x:c>
      <x:c r="N213" s="5" t="inlineStr">
        <x:is>
          <x:t xml:space="preserve">space planning; product curation; aesthetic reasoning; phased project planning</x:t>
        </x:is>
      </x:c>
      <x:c r="O213" s="5" t="inlineStr">
        <x:is>
          <x:t xml:space="preserve">Medium</x:t>
        </x:is>
      </x:c>
      <x:c r="P213" s="5" t="inlineStr">
        <x:is>
          <x:t xml:space="preserve">High</x:t>
        </x:is>
      </x:c>
      <x:c r="Q213" s="5" t="inlineStr">
        <x:is>
          <x:t xml:space="preserve">Medium</x:t>
        </x:is>
      </x:c>
      <x:c r="R213" s="5" t="inlineStr">
        <x:is>
          <x:t xml:space="preserve">Low</x:t>
        </x:is>
      </x:c>
      <x:c r="S213" s="5" t="inlineStr">
        <x:is>
          <x:t xml:space="preserve">Low</x:t>
        </x:is>
      </x:c>
      <x:c r="T213" s="5" t="inlineStr">
        <x:is>
          <x:t xml:space="preserve">ChatGPT with web; image/design tools later</x:t>
        </x:is>
      </x:c>
      <x:c r="U213" s="5" t="inlineStr">
        <x:is>
          <x:t xml:space="preserve">Easy</x:t>
        </x:is>
      </x:c>
      <x:c r="V213" s="10" t="n">
        <x:v>1</x:v>
      </x:c>
      <x:c r="W213" s="5" t="inlineStr">
        <x:is>
          <x:t xml:space="preserve">Design brief generation + feasibility review</x:t>
        </x:is>
      </x:c>
      <x:c r="X213" s="5" t="inlineStr">
        <x:is>
          <x:t xml:space="preserve">layout / shopping plan / phased upgrade roadmap</x:t>
        </x:is>
      </x:c>
      <x:c r="Y213" s="5" t="inlineStr">
        <x:is>
          <x:t xml:space="preserve">Design plan feels cohesive, practical, and matched to lifestyle goals.</x:t>
        </x:is>
      </x:c>
      <x:c r="Z213" s="5" t="inlineStr">
        <x:is>
          <x:t xml:space="preserve">Pretty but impractical suggestions, no budget logic, or weak taste alignment.</x:t>
        </x:is>
      </x:c>
      <x:c r="AA213" s="5" t="inlineStr">
        <x:is>
          <x:t xml:space="preserve">design preference memory / shopping integration / image workflow</x:t>
        </x:is>
      </x:c>
      <x:c r="AB213" s="5" t="inlineStr">
        <x:is>
          <x:t xml:space="preserve"/>
        </x:is>
      </x:c>
      <x:c r="AC21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13" s="5" t="inlineStr">
        <x:is>
          <x:t xml:space="preserve">ThinkLab 2025 design benchmark; Houzz 2025 AI in construction &amp; design; Canadian Contractor/Mattoboard survey 2025</x:t>
        </x:is>
      </x:c>
      <x:c r="AE213" s="11">
        <x:f>IF(O213="High",20,IF(O213="Medium",10,IF(O213="Low",5,0)))+IF(P213="High",20,IF(P213="Medium",10,IF(P213="Low",5,0)))+IF(Q213="High",20,IF(Q213="Medium",10,IF(Q213="Low",5,0)))+IF(R213="High",20,IF(R213="Medium",10,IF(R213="Low",5,0)))+IF(S213="High",20,IF(S213="Medium",10,IF(S213="Low",5,0)))</x:f>
        <x:v>50</x:v>
      </x:c>
      <x:c r="AF213" s="12">
        <x:f>ROUND(H213*0.30+J213*0.25+K213*0.20+(100-AE213)*0.10+(100-(V213*20))*0.15,0)</x:f>
        <x:v>60</x:v>
      </x:c>
      <x:c r="AG213" s="13" t="str">
        <x:f>IF(AF213&gt;=80,"Batch 1",IF(AF213&gt;=70,"Batch 2",IF(AF213&gt;=60,"Batch 3","Backlog")))</x:f>
        <x:v>Batch 3</x:v>
      </x:c>
      <x:c r="AH213" t="inlineStr">
        <x:is>
          <x:t xml:space="preserve"/>
        </x:is>
      </x:c>
    </x:row>
    <x:row r="214">
      <x:c r="A214" s="5" t="inlineStr">
        <x:is>
          <x:t xml:space="preserve">GPO-FIL-01</x:t>
        </x:is>
      </x:c>
      <x:c r="B214" s="5" t="n">
        <x:v>210</x:v>
      </x:c>
      <x:c r="C214" s="5" t="inlineStr">
        <x:is>
          <x:t xml:space="preserve">Filmmaking &amp; Video Production</x:t>
        </x:is>
      </x:c>
      <x:c r="D214" s="5" t="inlineStr">
        <x:is>
          <x:t xml:space="preserve">Create</x:t>
        </x:is>
      </x:c>
      <x:c r="E214" s="5" t="inlineStr">
        <x:is>
          <x:t xml:space="preserve">Core 150</x:t>
        </x:is>
      </x:c>
      <x:c r="F214" s="5" t="n">
        <x:v>1</x:v>
      </x:c>
      <x:c r="G214" s="5" t="inlineStr">
        <x:is>
          <x:t xml:space="preserve">Turn this script into a shot list, visual style guide, and production plan.</x:t>
        </x:is>
      </x:c>
      <x:c r="H214" s="6" t="n">
        <x:v>56</x:v>
      </x:c>
      <x:c r="I214" s="6" t="n">
        <x:v>56</x:v>
      </x:c>
      <x:c r="J214" s="7" t="n">
        <x:v>58</x:v>
      </x:c>
      <x:c r="K214" s="7" t="n">
        <x:v>57</x:v>
      </x:c>
      <x:c r="L214" s="8" t="inlineStr">
        <x:is>
          <x:t xml:space="preserve">UNTESTED</x:t>
        </x:is>
      </x:c>
      <x:c r="M214" s="9" t="inlineStr">
        <x:is>
          <x:t xml:space="preserve">UNTESTED</x:t>
        </x:is>
      </x:c>
      <x:c r="N214" s="5" t="inlineStr">
        <x:is>
          <x:t xml:space="preserve">shot planning; multimodal coordination; tool routing; production workflow</x:t>
        </x:is>
      </x:c>
      <x:c r="O214" s="5" t="inlineStr">
        <x:is>
          <x:t xml:space="preserve">Low</x:t>
        </x:is>
      </x:c>
      <x:c r="P214" s="5" t="inlineStr">
        <x:is>
          <x:t xml:space="preserve">Medium</x:t>
        </x:is>
      </x:c>
      <x:c r="Q214" s="5" t="inlineStr">
        <x:is>
          <x:t xml:space="preserve">High</x:t>
        </x:is>
      </x:c>
      <x:c r="R214" s="5" t="inlineStr">
        <x:is>
          <x:t xml:space="preserve">High</x:t>
        </x:is>
      </x:c>
      <x:c r="S214" s="5" t="inlineStr">
        <x:is>
          <x:t xml:space="preserve">Medium</x:t>
        </x:is>
      </x:c>
      <x:c r="T214" s="5" t="inlineStr">
        <x:is>
          <x:t xml:space="preserve">Claude planning + external video/image tools</x:t>
        </x:is>
      </x:c>
      <x:c r="U214" s="5" t="inlineStr">
        <x:is>
          <x:t xml:space="preserve">Hard</x:t>
        </x:is>
      </x:c>
      <x:c r="V214" s="10" t="n">
        <x:v>3</x:v>
      </x:c>
      <x:c r="W214" s="5" t="inlineStr">
        <x:is>
          <x:t xml:space="preserve">Workflow plan + asset chain review</x:t>
        </x:is>
      </x:c>
      <x:c r="X214" s="5" t="inlineStr">
        <x:is>
          <x:t xml:space="preserve">shot list / storyboard / production workflow / tool stack recommendation</x:t>
        </x:is>
      </x:c>
      <x:c r="Y214" s="5" t="inlineStr">
        <x:is>
          <x:t xml:space="preserve">Workflow is executable with current tools and preserves consistency across assets.</x:t>
        </x:is>
      </x:c>
      <x:c r="Z214" s="5" t="inlineStr">
        <x:is>
          <x:t xml:space="preserve">Ignores tool limits, no consistency strategy, or vague production logic.</x:t>
        </x:is>
      </x:c>
      <x:c r="AA214" s="5" t="inlineStr">
        <x:is>
          <x:t xml:space="preserve">multimodal orchestration / provider routing / asset schema</x:t>
        </x:is>
      </x:c>
      <x:c r="AB214" s="5" t="inlineStr">
        <x:is>
          <x:t xml:space="preserve"/>
        </x:is>
      </x:c>
      <x:c r="AC214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14" s="5" t="inlineStr">
        <x:is>
          <x:t xml:space="preserve">Wondercraft/Digiday creator workflow survey 2025; Artificial Analysis generative media survey 2025; Reuters/Canal+ 2026</x:t>
        </x:is>
      </x:c>
      <x:c r="AE214" s="11">
        <x:f>IF(O214="High",20,IF(O214="Medium",10,IF(O214="Low",5,0)))+IF(P214="High",20,IF(P214="Medium",10,IF(P214="Low",5,0)))+IF(Q214="High",20,IF(Q214="Medium",10,IF(Q214="Low",5,0)))+IF(R214="High",20,IF(R214="Medium",10,IF(R214="Low",5,0)))+IF(S214="High",20,IF(S214="Medium",10,IF(S214="Low",5,0)))</x:f>
        <x:v>65</x:v>
      </x:c>
      <x:c r="AF214" s="12">
        <x:f>ROUND(H214*0.30+J214*0.25+K214*0.20+(100-AE214)*0.10+(100-(V214*20))*0.15,0)</x:f>
        <x:v>52</x:v>
      </x:c>
      <x:c r="AG214" s="13" t="str">
        <x:f>IF(AF214&gt;=80,"Batch 1",IF(AF214&gt;=70,"Batch 2",IF(AF214&gt;=60,"Batch 3","Backlog")))</x:f>
        <x:v>Backlog</x:v>
      </x:c>
      <x:c r="AH214" t="inlineStr">
        <x:is>
          <x:t xml:space="preserve"/>
        </x:is>
      </x:c>
    </x:row>
    <x:row r="215">
      <x:c r="A215" s="5" t="inlineStr">
        <x:is>
          <x:t xml:space="preserve">GPO-STA-15</x:t>
        </x:is>
      </x:c>
      <x:c r="B215" s="5" t="n">
        <x:v>211</x:v>
      </x:c>
      <x:c r="C215" s="5" t="inlineStr">
        <x:is>
          <x:t xml:space="preserve">Startup &amp; Business Builder</x:t>
        </x:is>
      </x:c>
      <x:c r="D215" s="5" t="inlineStr">
        <x:is>
          <x:t xml:space="preserve">Build</x:t>
        </x:is>
      </x:c>
      <x:c r="E215" s="5" t="inlineStr">
        <x:is>
          <x:t xml:space="preserve">Expansion 150</x:t>
        </x:is>
      </x:c>
      <x:c r="F215" s="5" t="n">
        <x:v>15</x:v>
      </x:c>
      <x:c r="G215" s="5" t="inlineStr">
        <x:is>
          <x:t xml:space="preserve">Help me decide what to build manually, automate, or ignore in the first 90 days.</x:t>
        </x:is>
      </x:c>
      <x:c r="H215" s="6" t="n">
        <x:v>48</x:v>
      </x:c>
      <x:c r="I215" s="6" t="n">
        <x:v>48</x:v>
      </x:c>
      <x:c r="J215" s="7" t="n">
        <x:v>69</x:v>
      </x:c>
      <x:c r="K215" s="7" t="n">
        <x:v>57</x:v>
      </x:c>
      <x:c r="L215" s="8" t="inlineStr">
        <x:is>
          <x:t xml:space="preserve">UNTESTED</x:t>
        </x:is>
      </x:c>
      <x:c r="M215" s="9" t="inlineStr">
        <x:is>
          <x:t xml:space="preserve">UNTESTED</x:t>
        </x:is>
      </x:c>
      <x:c r="N215" s="5" t="inlineStr">
        <x:is>
          <x:t xml:space="preserve">strategy; product thinking; GTM reasoning; structured planning</x:t>
        </x:is>
      </x:c>
      <x:c r="O215" s="5" t="inlineStr">
        <x:is>
          <x:t xml:space="preserve">Medium</x:t>
        </x:is>
      </x:c>
      <x:c r="P215" s="5" t="inlineStr">
        <x:is>
          <x:t xml:space="preserve">High</x:t>
        </x:is>
      </x:c>
      <x:c r="Q215" s="5" t="inlineStr">
        <x:is>
          <x:t xml:space="preserve">Low</x:t>
        </x:is>
      </x:c>
      <x:c r="R215" s="5" t="inlineStr">
        <x:is>
          <x:t xml:space="preserve">Medium</x:t>
        </x:is>
      </x:c>
      <x:c r="S215" s="5" t="inlineStr">
        <x:is>
          <x:t xml:space="preserve">Low</x:t>
        </x:is>
      </x:c>
      <x:c r="T215" s="5" t="inlineStr">
        <x:is>
          <x:t xml:space="preserve">Claude + ChatGPT combo</x:t>
        </x:is>
      </x:c>
      <x:c r="U215" s="5" t="inlineStr">
        <x:is>
          <x:t xml:space="preserve">Medium</x:t>
        </x:is>
      </x:c>
      <x:c r="V215" s="10" t="n">
        <x:v>2</x:v>
      </x:c>
      <x:c r="W215" s="5" t="inlineStr">
        <x:is>
          <x:t xml:space="preserve">Plan generation + critique + strategic review</x:t>
        </x:is>
      </x:c>
      <x:c r="X215" s="5" t="inlineStr">
        <x:is>
          <x:t xml:space="preserve">roadmap / GTM plan / business memo</x:t>
        </x:is>
      </x:c>
      <x:c r="Y215" s="5" t="inlineStr">
        <x:is>
          <x:t xml:space="preserve">Recommendation is strategically sharp, prioritized, and grounded in market reality.</x:t>
        </x:is>
      </x:c>
      <x:c r="Z215" s="5" t="inlineStr">
        <x:is>
          <x:t xml:space="preserve">Buzzwordy output, no wedge, weak prioritization, or unearned confidence.</x:t>
        </x:is>
      </x:c>
      <x:c r="AA215" s="5" t="inlineStr">
        <x:is>
          <x:t xml:space="preserve">strategy templates / board logic / critique loop</x:t>
        </x:is>
      </x:c>
      <x:c r="AB215" s="5" t="inlineStr">
        <x:is>
          <x:t xml:space="preserve"/>
        </x:is>
      </x:c>
      <x:c r="AC21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15" s="5" t="inlineStr">
        <x:is>
          <x:t xml:space="preserve">OpenAI How People Use ChatGPT paper; Menlo State of Consumer AI 2025; Menlo AI UI Problem 2025</x:t>
        </x:is>
      </x:c>
      <x:c r="AE215" s="11">
        <x:f>IF(O215="High",20,IF(O215="Medium",10,IF(O215="Low",5,0)))+IF(P215="High",20,IF(P215="Medium",10,IF(P215="Low",5,0)))+IF(Q215="High",20,IF(Q215="Medium",10,IF(Q215="Low",5,0)))+IF(R215="High",20,IF(R215="Medium",10,IF(R215="Low",5,0)))+IF(S215="High",20,IF(S215="Medium",10,IF(S215="Low",5,0)))</x:f>
        <x:v>50</x:v>
      </x:c>
      <x:c r="AF215" s="12">
        <x:f>ROUND(H215*0.30+J215*0.25+K215*0.20+(100-AE215)*0.10+(100-(V215*20))*0.15,0)</x:f>
        <x:v>57</x:v>
      </x:c>
      <x:c r="AG215" s="13" t="str">
        <x:f>IF(AF215&gt;=80,"Batch 1",IF(AF215&gt;=70,"Batch 2",IF(AF215&gt;=60,"Batch 3","Backlog")))</x:f>
        <x:v>Backlog</x:v>
      </x:c>
      <x:c r="AH215" t="inlineStr">
        <x:is>
          <x:t xml:space="preserve"/>
        </x:is>
      </x:c>
    </x:row>
    <x:row r="216">
      <x:c r="A216" s="5" t="inlineStr">
        <x:is>
          <x:t xml:space="preserve">GPO-PER-15</x:t>
        </x:is>
      </x:c>
      <x:c r="B216" s="5" t="n">
        <x:v>212</x:v>
      </x:c>
      <x:c r="C216" s="5" t="inlineStr">
        <x:is>
          <x:t xml:space="preserve">Personal Finance &amp; Investing</x:t>
        </x:is>
      </x:c>
      <x:c r="D216" s="5" t="inlineStr">
        <x:is>
          <x:t xml:space="preserve">Money</x:t>
        </x:is>
      </x:c>
      <x:c r="E216" s="5" t="inlineStr">
        <x:is>
          <x:t xml:space="preserve">Expansion 150</x:t>
        </x:is>
      </x:c>
      <x:c r="F216" s="5" t="n">
        <x:v>15</x:v>
      </x:c>
      <x:c r="G216" s="5" t="inlineStr">
        <x:is>
          <x:t xml:space="preserve">Help me estimate taxes and avoid ugly surprises this year.</x:t>
        </x:is>
      </x:c>
      <x:c r="H216" s="6" t="n">
        <x:v>49</x:v>
      </x:c>
      <x:c r="I216" s="6" t="n">
        <x:v>49</x:v>
      </x:c>
      <x:c r="J216" s="7" t="n">
        <x:v>67</x:v>
      </x:c>
      <x:c r="K216" s="7" t="n">
        <x:v>57</x:v>
      </x:c>
      <x:c r="L216" s="8" t="inlineStr">
        <x:is>
          <x:t xml:space="preserve">UNTESTED</x:t>
        </x:is>
      </x:c>
      <x:c r="M216" s="9" t="inlineStr">
        <x:is>
          <x:t xml:space="preserve">UNTESTED</x:t>
        </x:is>
      </x:c>
      <x:c r="N216" s="5" t="inlineStr">
        <x:is>
          <x:t xml:space="preserve">scenario modeling; budgeting; portfolio reasoning; decision framing</x:t>
        </x:is>
      </x:c>
      <x:c r="O216" s="5" t="inlineStr">
        <x:is>
          <x:t xml:space="preserve">Medium</x:t>
        </x:is>
      </x:c>
      <x:c r="P216" s="5" t="inlineStr">
        <x:is>
          <x:t xml:space="preserve">High</x:t>
        </x:is>
      </x:c>
      <x:c r="Q216" s="5" t="inlineStr">
        <x:is>
          <x:t xml:space="preserve">Medium</x:t>
        </x:is>
      </x:c>
      <x:c r="R216" s="5" t="inlineStr">
        <x:is>
          <x:t xml:space="preserve">Low</x:t>
        </x:is>
      </x:c>
      <x:c r="S216" s="5" t="inlineStr">
        <x:is>
          <x:t xml:space="preserve">Medium</x:t>
        </x:is>
      </x:c>
      <x:c r="T216" s="5" t="inlineStr">
        <x:is>
          <x:t xml:space="preserve">ChatGPT or Claude with spreadsheet support</x:t>
        </x:is>
      </x:c>
      <x:c r="U216" s="5" t="inlineStr">
        <x:is>
          <x:t xml:space="preserve">Medium</x:t>
        </x:is>
      </x:c>
      <x:c r="V216" s="10" t="n">
        <x:v>2</x:v>
      </x:c>
      <x:c r="W216" s="5" t="inlineStr">
        <x:is>
          <x:t xml:space="preserve">Scenario modeling + coherence review</x:t>
        </x:is>
      </x:c>
      <x:c r="X216" s="5" t="inlineStr">
        <x:is>
          <x:t xml:space="preserve">budget / model / plan / recommendation</x:t>
        </x:is>
      </x:c>
      <x:c r="Y216" s="5" t="inlineStr">
        <x:is>
          <x:t xml:space="preserve">Advice is numerically coherent, practical, and transparent about assumptions.</x:t>
        </x:is>
      </x:c>
      <x:c r="Z216" s="5" t="inlineStr">
        <x:is>
          <x:t xml:space="preserve">Bad math, missing assumptions, or overconfident investment guidance.</x:t>
        </x:is>
      </x:c>
      <x:c r="AA216" s="5" t="inlineStr">
        <x:is>
          <x:t xml:space="preserve">financial calculator / assumption schema / spreadsheet outputs</x:t>
        </x:is>
      </x:c>
      <x:c r="AB216" s="5" t="inlineStr">
        <x:is>
          <x:t xml:space="preserve"/>
        </x:is>
      </x:c>
      <x:c r="AC216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16" s="5" t="inlineStr">
        <x:is>
          <x:t xml:space="preserve">FNBO Financial Wellbeing Study 2025; NerdWallet/Harris Poll 2026; PlanAdviser 2026</x:t>
        </x:is>
      </x:c>
      <x:c r="AE216" s="11">
        <x:f>IF(O216="High",20,IF(O216="Medium",10,IF(O216="Low",5,0)))+IF(P216="High",20,IF(P216="Medium",10,IF(P216="Low",5,0)))+IF(Q216="High",20,IF(Q216="Medium",10,IF(Q216="Low",5,0)))+IF(R216="High",20,IF(R216="Medium",10,IF(R216="Low",5,0)))+IF(S216="High",20,IF(S216="Medium",10,IF(S216="Low",5,0)))</x:f>
        <x:v>55</x:v>
      </x:c>
      <x:c r="AF216" s="12">
        <x:f>ROUND(H216*0.30+J216*0.25+K216*0.20+(100-AE216)*0.10+(100-(V216*20))*0.15,0)</x:f>
        <x:v>56</x:v>
      </x:c>
      <x:c r="AG216" s="13" t="str">
        <x:f>IF(AF216&gt;=80,"Batch 1",IF(AF216&gt;=70,"Batch 2",IF(AF216&gt;=60,"Batch 3","Backlog")))</x:f>
        <x:v>Backlog</x:v>
      </x:c>
      <x:c r="AH216" t="inlineStr">
        <x:is>
          <x:t xml:space="preserve"/>
        </x:is>
      </x:c>
    </x:row>
    <x:row r="217">
      <x:c r="A217" s="5" t="inlineStr">
        <x:is>
          <x:t xml:space="preserve">GPO-MUS-02</x:t>
        </x:is>
      </x:c>
      <x:c r="B217" s="5" t="n">
        <x:v>213</x:v>
      </x:c>
      <x:c r="C217" s="5" t="inlineStr">
        <x:is>
          <x:t xml:space="preserve">Music &amp; Audio Creation</x:t>
        </x:is>
      </x:c>
      <x:c r="D217" s="5" t="inlineStr">
        <x:is>
          <x:t xml:space="preserve">Create</x:t>
        </x:is>
      </x:c>
      <x:c r="E217" s="5" t="inlineStr">
        <x:is>
          <x:t xml:space="preserve">Core 150</x:t>
        </x:is>
      </x:c>
      <x:c r="F217" s="5" t="n">
        <x:v>2</x:v>
      </x:c>
      <x:c r="G217" s="5" t="inlineStr">
        <x:is>
          <x:t xml:space="preserve">Create a practice plan for piano/keyboard based on my level and available time.</x:t>
        </x:is>
      </x:c>
      <x:c r="H217" s="6" t="n">
        <x:v>51</x:v>
      </x:c>
      <x:c r="I217" s="6" t="n">
        <x:v>51</x:v>
      </x:c>
      <x:c r="J217" s="7" t="n">
        <x:v>64</x:v>
      </x:c>
      <x:c r="K217" s="7" t="n">
        <x:v>57</x:v>
      </x:c>
      <x:c r="L217" s="8" t="inlineStr">
        <x:is>
          <x:t xml:space="preserve">UNTESTED</x:t>
        </x:is>
      </x:c>
      <x:c r="M217" s="9" t="inlineStr">
        <x:is>
          <x:t xml:space="preserve">UNTESTED</x:t>
        </x:is>
      </x:c>
      <x:c r="N217" s="5" t="inlineStr">
        <x:is>
          <x:t xml:space="preserve">theory help; composition support; practice coaching; audio workflow planning</x:t>
        </x:is>
      </x:c>
      <x:c r="O217" s="5" t="inlineStr">
        <x:is>
          <x:t xml:space="preserve">Low</x:t>
        </x:is>
      </x:c>
      <x:c r="P217" s="5" t="inlineStr">
        <x:is>
          <x:t xml:space="preserve">Medium</x:t>
        </x:is>
      </x:c>
      <x:c r="Q217" s="5" t="inlineStr">
        <x:is>
          <x:t xml:space="preserve">Medium</x:t>
        </x:is>
      </x:c>
      <x:c r="R217" s="5" t="inlineStr">
        <x:is>
          <x:t xml:space="preserve">Low</x:t>
        </x:is>
      </x:c>
      <x:c r="S217" s="5" t="inlineStr">
        <x:is>
          <x:t xml:space="preserve">Medium</x:t>
        </x:is>
      </x:c>
      <x:c r="T217" s="5" t="inlineStr">
        <x:is>
          <x:t xml:space="preserve">ChatGPT/Claude planning + external music tools</x:t>
        </x:is>
      </x:c>
      <x:c r="U217" s="5" t="inlineStr">
        <x:is>
          <x:t xml:space="preserve">Medium</x:t>
        </x:is>
      </x:c>
      <x:c r="V217" s="10" t="n">
        <x:v>2</x:v>
      </x:c>
      <x:c r="W217" s="5" t="inlineStr">
        <x:is>
          <x:t xml:space="preserve">Creative coaching + workflow review</x:t>
        </x:is>
      </x:c>
      <x:c r="X217" s="5" t="inlineStr">
        <x:is>
          <x:t xml:space="preserve">practice plan / composition guide / arrangement brief</x:t>
        </x:is>
      </x:c>
      <x:c r="Y217" s="5" t="inlineStr">
        <x:is>
          <x:t xml:space="preserve">Output helps create or learn music in a concrete, musically coherent way.</x:t>
        </x:is>
      </x:c>
      <x:c r="Z217" s="5" t="inlineStr">
        <x:is>
          <x:t xml:space="preserve">Musically weak suggestions, generic advice, or no usable next step.</x:t>
        </x:is>
      </x:c>
      <x:c r="AA217" s="5" t="inlineStr">
        <x:is>
          <x:t xml:space="preserve">music mode / external tool routing / structured lesson outputs</x:t>
        </x:is>
      </x:c>
      <x:c r="AB217" s="5" t="inlineStr">
        <x:is>
          <x:t xml:space="preserve"/>
        </x:is>
      </x:c>
      <x:c r="AC217" s="5" t="inlineStr">
        <x:is>
          <x:t xml:space="preserve">Music-maker surveys show strong AI usage in parts of workflow, but full-song generation is less appealing; consumer trust remains mixed.</x:t>
        </x:is>
      </x:c>
      <x:c r="AD217" s="5" t="inlineStr">
        <x:is>
          <x:t xml:space="preserve">LANDR study 2025; PRS for Music 2026; Bain media survey 2025</x:t>
        </x:is>
      </x:c>
      <x:c r="AE217" s="11">
        <x:f>IF(O217="High",20,IF(O217="Medium",10,IF(O217="Low",5,0)))+IF(P217="High",20,IF(P217="Medium",10,IF(P217="Low",5,0)))+IF(Q217="High",20,IF(Q217="Medium",10,IF(Q217="Low",5,0)))+IF(R217="High",20,IF(R217="Medium",10,IF(R217="Low",5,0)))+IF(S217="High",20,IF(S217="Medium",10,IF(S217="Low",5,0)))</x:f>
        <x:v>40</x:v>
      </x:c>
      <x:c r="AF217" s="12">
        <x:f>ROUND(H217*0.30+J217*0.25+K217*0.20+(100-AE217)*0.10+(100-(V217*20))*0.15,0)</x:f>
        <x:v>58</x:v>
      </x:c>
      <x:c r="AG217" s="13" t="str">
        <x:f>IF(AF217&gt;=80,"Batch 1",IF(AF217&gt;=70,"Batch 2",IF(AF217&gt;=60,"Batch 3","Backlog")))</x:f>
        <x:v>Backlog</x:v>
      </x:c>
      <x:c r="AH217" t="inlineStr">
        <x:is>
          <x:t xml:space="preserve"/>
        </x:is>
      </x:c>
    </x:row>
    <x:row r="218">
      <x:c r="A218" s="5" t="inlineStr">
        <x:is>
          <x:t xml:space="preserve">GPO-SHO-19</x:t>
        </x:is>
      </x:c>
      <x:c r="B218" s="5" t="n">
        <x:v>214</x:v>
      </x:c>
      <x:c r="C218" s="5" t="inlineStr">
        <x:is>
          <x:t xml:space="preserve">Shopping &amp; Buying Advisor</x:t>
        </x:is>
      </x:c>
      <x:c r="D218" s="5" t="inlineStr">
        <x:is>
          <x:t xml:space="preserve">Buy</x:t>
        </x:is>
      </x:c>
      <x:c r="E218" s="5" t="inlineStr">
        <x:is>
          <x:t xml:space="preserve">Expansion 150</x:t>
        </x:is>
      </x:c>
      <x:c r="F218" s="5" t="n">
        <x:v>19</x:v>
      </x:c>
      <x:c r="G218" s="5" t="inlineStr">
        <x:is>
          <x:t xml:space="preserve">Recommend the best order timing for buying web app this year.</x:t>
        </x:is>
      </x:c>
      <x:c r="H218" s="6" t="n">
        <x:v>46</x:v>
      </x:c>
      <x:c r="I218" s="6" t="n">
        <x:v>46</x:v>
      </x:c>
      <x:c r="J218" s="7" t="n">
        <x:v>71</x:v>
      </x:c>
      <x:c r="K218" s="7" t="n">
        <x:v>57</x:v>
      </x:c>
      <x:c r="L218" s="8" t="inlineStr">
        <x:is>
          <x:t xml:space="preserve">UNTESTED</x:t>
        </x:is>
      </x:c>
      <x:c r="M218" s="9" t="inlineStr">
        <x:is>
          <x:t xml:space="preserve">UNTESTED</x:t>
        </x:is>
      </x:c>
      <x:c r="N218" s="5" t="inlineStr">
        <x:is>
          <x:t xml:space="preserve">web/product research; comparison; price-value reasoning; shortlist generation</x:t>
        </x:is>
      </x:c>
      <x:c r="O218" s="5" t="inlineStr">
        <x:is>
          <x:t xml:space="preserve">High</x:t>
        </x:is>
      </x:c>
      <x:c r="P218" s="5" t="inlineStr">
        <x:is>
          <x:t xml:space="preserve">Medium</x:t>
        </x:is>
      </x:c>
      <x:c r="Q218" s="5" t="inlineStr">
        <x:is>
          <x:t xml:space="preserve">Medium</x:t>
        </x:is>
      </x:c>
      <x:c r="R218" s="5" t="inlineStr">
        <x:is>
          <x:t xml:space="preserve">Low</x:t>
        </x:is>
      </x:c>
      <x:c r="S218" s="5" t="inlineStr">
        <x:is>
          <x:t xml:space="preserve">Low</x:t>
        </x:is>
      </x:c>
      <x:c r="T218" s="5" t="inlineStr">
        <x:is>
          <x:t xml:space="preserve">ChatGPT with web</x:t>
        </x:is>
      </x:c>
      <x:c r="U218" s="5" t="inlineStr">
        <x:is>
          <x:t xml:space="preserve">Easy</x:t>
        </x:is>
      </x:c>
      <x:c r="V218" s="10" t="n">
        <x:v>1</x:v>
      </x:c>
      <x:c r="W218" s="5" t="inlineStr">
        <x:is>
          <x:t xml:space="preserve">Live shopping query + recommendation validation</x:t>
        </x:is>
      </x:c>
      <x:c r="X218" s="5" t="inlineStr">
        <x:is>
          <x:t xml:space="preserve">shortlist / recommendation / comparison / cart plan</x:t>
        </x:is>
      </x:c>
      <x:c r="Y218" s="5" t="inlineStr">
        <x:is>
          <x:t xml:space="preserve">Recommendation fits constraints and explains tradeoffs clearly.</x:t>
        </x:is>
      </x:c>
      <x:c r="Z218" s="5" t="inlineStr">
        <x:is>
          <x:t xml:space="preserve">Outdated products, poor fit, missed constraints, or shallow comparison.</x:t>
        </x:is>
      </x:c>
      <x:c r="AA218" s="5" t="inlineStr">
        <x:is>
          <x:t xml:space="preserve">web/product retrieval / comparison template / user preference memory</x:t>
        </x:is>
      </x:c>
      <x:c r="AB218" s="5" t="inlineStr">
        <x:is>
          <x:t xml:space="preserve"/>
        </x:is>
      </x:c>
      <x:c r="AC218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18" s="5" t="inlineStr">
        <x:is>
          <x:t xml:space="preserve">Deloitte Connected Consumer 2025; Salesforce Connected Shopper 2025; IAB 2025 shopping study</x:t>
        </x:is>
      </x:c>
      <x:c r="AE218" s="11">
        <x:f>IF(O218="High",20,IF(O218="Medium",10,IF(O218="Low",5,0)))+IF(P218="High",20,IF(P218="Medium",10,IF(P218="Low",5,0)))+IF(Q218="High",20,IF(Q218="Medium",10,IF(Q218="Low",5,0)))+IF(R218="High",20,IF(R218="Medium",10,IF(R218="Low",5,0)))+IF(S218="High",20,IF(S218="Medium",10,IF(S218="Low",5,0)))</x:f>
        <x:v>50</x:v>
      </x:c>
      <x:c r="AF218" s="12">
        <x:f>ROUND(H218*0.30+J218*0.25+K218*0.20+(100-AE218)*0.10+(100-(V218*20))*0.15,0)</x:f>
        <x:v>60</x:v>
      </x:c>
      <x:c r="AG218" s="13" t="str">
        <x:f>IF(AF218&gt;=80,"Batch 1",IF(AF218&gt;=70,"Batch 2",IF(AF218&gt;=60,"Batch 3","Backlog")))</x:f>
        <x:v>Batch 3</x:v>
      </x:c>
      <x:c r="AH218" t="inlineStr">
        <x:is>
          <x:t xml:space="preserve"/>
        </x:is>
      </x:c>
    </x:row>
    <x:row r="219">
      <x:c r="A219" s="5" t="inlineStr">
        <x:is>
          <x:t xml:space="preserve">GPO-CAR-16</x:t>
        </x:is>
      </x:c>
      <x:c r="B219" s="5" t="n">
        <x:v>215</x:v>
      </x:c>
      <x:c r="C219" s="5" t="inlineStr">
        <x:is>
          <x:t xml:space="preserve">Career &amp; Job Search</x:t>
        </x:is>
      </x:c>
      <x:c r="D219" s="5" t="inlineStr">
        <x:is>
          <x:t xml:space="preserve">Advance</x:t>
        </x:is>
      </x:c>
      <x:c r="E219" s="5" t="inlineStr">
        <x:is>
          <x:t xml:space="preserve">Expansion 150</x:t>
        </x:is>
      </x:c>
      <x:c r="F219" s="5" t="n">
        <x:v>16</x:v>
      </x:c>
      <x:c r="G219" s="5" t="inlineStr">
        <x:is>
          <x:t xml:space="preserve">Compare multiple offers with compensation, growth, and visa/life risk in mind.</x:t>
        </x:is>
      </x:c>
      <x:c r="H219" s="6" t="n">
        <x:v>45</x:v>
      </x:c>
      <x:c r="I219" s="6" t="n">
        <x:v>45</x:v>
      </x:c>
      <x:c r="J219" s="7" t="n">
        <x:v>72</x:v>
      </x:c>
      <x:c r="K219" s="7" t="n">
        <x:v>57</x:v>
      </x:c>
      <x:c r="L219" s="8" t="inlineStr">
        <x:is>
          <x:t xml:space="preserve">UNTESTED</x:t>
        </x:is>
      </x:c>
      <x:c r="M219" s="9" t="inlineStr">
        <x:is>
          <x:t xml:space="preserve">UNTESTED</x:t>
        </x:is>
      </x:c>
      <x:c r="N219" s="5" t="inlineStr">
        <x:is>
          <x:t xml:space="preserve">resume tailoring; interview prep; role mapping; narrative building</x:t>
        </x:is>
      </x:c>
      <x:c r="O219" s="5" t="inlineStr">
        <x:is>
          <x:t xml:space="preserve">Medium</x:t>
        </x:is>
      </x:c>
      <x:c r="P219" s="5" t="inlineStr">
        <x:is>
          <x:t xml:space="preserve">High</x:t>
        </x:is>
      </x:c>
      <x:c r="Q219" s="5" t="inlineStr">
        <x:is>
          <x:t xml:space="preserve">Low</x:t>
        </x:is>
      </x:c>
      <x:c r="R219" s="5" t="inlineStr">
        <x:is>
          <x:t xml:space="preserve">Low</x:t>
        </x:is>
      </x:c>
      <x:c r="S219" s="5" t="inlineStr">
        <x:is>
          <x:t xml:space="preserve">Low</x:t>
        </x:is>
      </x:c>
      <x:c r="T219" s="5" t="inlineStr">
        <x:is>
          <x:t xml:space="preserve">ChatGPT primary</x:t>
        </x:is>
      </x:c>
      <x:c r="U219" s="5" t="inlineStr">
        <x:is>
          <x:t xml:space="preserve">Easy</x:t>
        </x:is>
      </x:c>
      <x:c r="V219" s="10" t="n">
        <x:v>1</x:v>
      </x:c>
      <x:c r="W219" s="5" t="inlineStr">
        <x:is>
          <x:t xml:space="preserve">Artifact review + mock interview + targeting review</x:t>
        </x:is>
      </x:c>
      <x:c r="X219" s="5" t="inlineStr">
        <x:is>
          <x:t xml:space="preserve">resume / prep plan / outreach / strategy memo</x:t>
        </x:is>
      </x:c>
      <x:c r="Y219" s="5" t="inlineStr">
        <x:is>
          <x:t xml:space="preserve">Career outputs are specific, credible, and materially improve positioning.</x:t>
        </x:is>
      </x:c>
      <x:c r="Z219" s="5" t="inlineStr">
        <x:is>
          <x:t xml:space="preserve">Generic resume language, fake-sounding stories, or weak role fit.</x:t>
        </x:is>
      </x:c>
      <x:c r="AA219" s="5" t="inlineStr">
        <x:is>
          <x:t xml:space="preserve">career templates / memory / ATS-aware output logic</x:t>
        </x:is>
      </x:c>
      <x:c r="AB219" s="5" t="inlineStr">
        <x:is>
          <x:t xml:space="preserve"/>
        </x:is>
      </x:c>
      <x:c r="AC219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19" s="5" t="inlineStr">
        <x:is>
          <x:t xml:space="preserve">Insight Global AI in Hiring Report 2025; NACE student survey 2025/2026</x:t>
        </x:is>
      </x:c>
      <x:c r="AE219" s="11">
        <x:f>IF(O219="High",20,IF(O219="Medium",10,IF(O219="Low",5,0)))+IF(P219="High",20,IF(P219="Medium",10,IF(P219="Low",5,0)))+IF(Q219="High",20,IF(Q219="Medium",10,IF(Q219="Low",5,0)))+IF(R219="High",20,IF(R219="Medium",10,IF(R219="Low",5,0)))+IF(S219="High",20,IF(S219="Medium",10,IF(S219="Low",5,0)))</x:f>
        <x:v>45</x:v>
      </x:c>
      <x:c r="AF219" s="12">
        <x:f>ROUND(H219*0.30+J219*0.25+K219*0.20+(100-AE219)*0.10+(100-(V219*20))*0.15,0)</x:f>
        <x:v>60</x:v>
      </x:c>
      <x:c r="AG219" s="13" t="str">
        <x:f>IF(AF219&gt;=80,"Batch 1",IF(AF219&gt;=70,"Batch 2",IF(AF219&gt;=60,"Batch 3","Backlog")))</x:f>
        <x:v>Batch 3</x:v>
      </x:c>
      <x:c r="AH219" t="inlineStr">
        <x:is>
          <x:t xml:space="preserve"/>
        </x:is>
      </x:c>
    </x:row>
    <x:row r="220">
      <x:c r="A220" s="5" t="inlineStr">
        <x:is>
          <x:t xml:space="preserve">GPO-HOM-04</x:t>
        </x:is>
      </x:c>
      <x:c r="B220" s="5" t="n">
        <x:v>216</x:v>
      </x:c>
      <x:c r="C220" s="5" t="inlineStr">
        <x:is>
          <x:t xml:space="preserve">Home &amp; Lifestyle Design</x:t>
        </x:is>
      </x:c>
      <x:c r="D220" s="5" t="inlineStr">
        <x:is>
          <x:t xml:space="preserve">Design</x:t>
        </x:is>
      </x:c>
      <x:c r="E220" s="5" t="inlineStr">
        <x:is>
          <x:t xml:space="preserve">Core 150</x:t>
        </x:is>
      </x:c>
      <x:c r="F220" s="5" t="n">
        <x:v>4</x:v>
      </x:c>
      <x:c r="G220" s="5" t="inlineStr">
        <x:is>
          <x:t xml:space="preserve">Build a furniture, lighting, and decor plan that matches my taste and budget.</x:t>
        </x:is>
      </x:c>
      <x:c r="H220" s="6" t="n">
        <x:v>45</x:v>
      </x:c>
      <x:c r="I220" s="6" t="n">
        <x:v>45</x:v>
      </x:c>
      <x:c r="J220" s="7" t="n">
        <x:v>72</x:v>
      </x:c>
      <x:c r="K220" s="7" t="n">
        <x:v>57</x:v>
      </x:c>
      <x:c r="L220" s="8" t="inlineStr">
        <x:is>
          <x:t xml:space="preserve">UNTESTED</x:t>
        </x:is>
      </x:c>
      <x:c r="M220" s="9" t="inlineStr">
        <x:is>
          <x:t xml:space="preserve">UNTESTED</x:t>
        </x:is>
      </x:c>
      <x:c r="N220" s="5" t="inlineStr">
        <x:is>
          <x:t xml:space="preserve">space planning; product curation; aesthetic reasoning; phased project planning</x:t>
        </x:is>
      </x:c>
      <x:c r="O220" s="5" t="inlineStr">
        <x:is>
          <x:t xml:space="preserve">Medium</x:t>
        </x:is>
      </x:c>
      <x:c r="P220" s="5" t="inlineStr">
        <x:is>
          <x:t xml:space="preserve">High</x:t>
        </x:is>
      </x:c>
      <x:c r="Q220" s="5" t="inlineStr">
        <x:is>
          <x:t xml:space="preserve">Medium</x:t>
        </x:is>
      </x:c>
      <x:c r="R220" s="5" t="inlineStr">
        <x:is>
          <x:t xml:space="preserve">Low</x:t>
        </x:is>
      </x:c>
      <x:c r="S220" s="5" t="inlineStr">
        <x:is>
          <x:t xml:space="preserve">Low</x:t>
        </x:is>
      </x:c>
      <x:c r="T220" s="5" t="inlineStr">
        <x:is>
          <x:t xml:space="preserve">ChatGPT with web; image/design tools later</x:t>
        </x:is>
      </x:c>
      <x:c r="U220" s="5" t="inlineStr">
        <x:is>
          <x:t xml:space="preserve">Easy</x:t>
        </x:is>
      </x:c>
      <x:c r="V220" s="10" t="n">
        <x:v>1</x:v>
      </x:c>
      <x:c r="W220" s="5" t="inlineStr">
        <x:is>
          <x:t xml:space="preserve">Design brief generation + feasibility review</x:t>
        </x:is>
      </x:c>
      <x:c r="X220" s="5" t="inlineStr">
        <x:is>
          <x:t xml:space="preserve">layout / shopping plan / phased upgrade roadmap</x:t>
        </x:is>
      </x:c>
      <x:c r="Y220" s="5" t="inlineStr">
        <x:is>
          <x:t xml:space="preserve">Design plan feels cohesive, practical, and matched to lifestyle goals.</x:t>
        </x:is>
      </x:c>
      <x:c r="Z220" s="5" t="inlineStr">
        <x:is>
          <x:t xml:space="preserve">Pretty but impractical suggestions, no budget logic, or weak taste alignment.</x:t>
        </x:is>
      </x:c>
      <x:c r="AA220" s="5" t="inlineStr">
        <x:is>
          <x:t xml:space="preserve">design preference memory / shopping integration / image workflow</x:t>
        </x:is>
      </x:c>
      <x:c r="AB220" s="5" t="inlineStr">
        <x:is>
          <x:t xml:space="preserve"/>
        </x:is>
      </x:c>
      <x:c r="AC220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20" s="5" t="inlineStr">
        <x:is>
          <x:t xml:space="preserve">ThinkLab 2025 design benchmark; Houzz 2025 AI in construction &amp; design; Canadian Contractor/Mattoboard survey 2025</x:t>
        </x:is>
      </x:c>
      <x:c r="AE220" s="11">
        <x:f>IF(O220="High",20,IF(O220="Medium",10,IF(O220="Low",5,0)))+IF(P220="High",20,IF(P220="Medium",10,IF(P220="Low",5,0)))+IF(Q220="High",20,IF(Q220="Medium",10,IF(Q220="Low",5,0)))+IF(R220="High",20,IF(R220="Medium",10,IF(R220="Low",5,0)))+IF(S220="High",20,IF(S220="Medium",10,IF(S220="Low",5,0)))</x:f>
        <x:v>50</x:v>
      </x:c>
      <x:c r="AF220" s="12">
        <x:f>ROUND(H220*0.30+J220*0.25+K220*0.20+(100-AE220)*0.10+(100-(V220*20))*0.15,0)</x:f>
        <x:v>60</x:v>
      </x:c>
      <x:c r="AG220" s="13" t="str">
        <x:f>IF(AF220&gt;=80,"Batch 1",IF(AF220&gt;=70,"Batch 2",IF(AF220&gt;=60,"Batch 3","Backlog")))</x:f>
        <x:v>Batch 3</x:v>
      </x:c>
      <x:c r="AH220" t="inlineStr">
        <x:is>
          <x:t xml:space="preserve"/>
        </x:is>
      </x:c>
    </x:row>
    <x:row r="221">
      <x:c r="A221" s="5" t="inlineStr">
        <x:is>
          <x:t xml:space="preserve">GPO-SCH-21</x:t>
        </x:is>
      </x:c>
      <x:c r="B221" s="5" t="n">
        <x:v>217</x:v>
      </x:c>
      <x:c r="C221" s="5" t="inlineStr">
        <x:is>
          <x:t xml:space="preserve">Scheduling &amp; Life Operations</x:t>
        </x:is>
      </x:c>
      <x:c r="D221" s="5" t="inlineStr">
        <x:is>
          <x:t xml:space="preserve">Operate</x:t>
        </x:is>
      </x:c>
      <x:c r="E221" s="5" t="inlineStr">
        <x:is>
          <x:t xml:space="preserve">Stretch 60</x:t>
        </x:is>
      </x:c>
      <x:c r="F221" s="5" t="n">
        <x:v>21</x:v>
      </x:c>
      <x:c r="G221" s="5" t="inlineStr">
        <x:is>
          <x:t xml:space="preserve">Create a crisis-mode schedule for a week when everything is urgent and capacity is limited.</x:t>
        </x:is>
      </x:c>
      <x:c r="H221" s="6" t="n">
        <x:v>46</x:v>
      </x:c>
      <x:c r="I221" s="6" t="n">
        <x:v>46</x:v>
      </x:c>
      <x:c r="J221" s="7" t="n">
        <x:v>70</x:v>
      </x:c>
      <x:c r="K221" s="7" t="n">
        <x:v>57</x:v>
      </x:c>
      <x:c r="L221" s="8" t="inlineStr">
        <x:is>
          <x:t xml:space="preserve">UNTESTED</x:t>
        </x:is>
      </x:c>
      <x:c r="M221" s="9" t="inlineStr">
        <x:is>
          <x:t xml:space="preserve">UNTESTED</x:t>
        </x:is>
      </x:c>
      <x:c r="N221" s="5" t="inlineStr">
        <x:is>
          <x:t xml:space="preserve">task planning; prioritization; calendar reasoning; personal constraints handling</x:t>
        </x:is>
      </x:c>
      <x:c r="O221" s="5" t="inlineStr">
        <x:is>
          <x:t xml:space="preserve">Low</x:t>
        </x:is>
      </x:c>
      <x:c r="P221" s="5" t="inlineStr">
        <x:is>
          <x:t xml:space="preserve">High</x:t>
        </x:is>
      </x:c>
      <x:c r="Q221" s="5" t="inlineStr">
        <x:is>
          <x:t xml:space="preserve">Medium</x:t>
        </x:is>
      </x:c>
      <x:c r="R221" s="5" t="inlineStr">
        <x:is>
          <x:t xml:space="preserve">Low</x:t>
        </x:is>
      </x:c>
      <x:c r="S221" s="5" t="inlineStr">
        <x:is>
          <x:t xml:space="preserve">Low</x:t>
        </x:is>
      </x:c>
      <x:c r="T221" s="5" t="inlineStr">
        <x:is>
          <x:t xml:space="preserve">ChatGPT primary; calendar integrations later</x:t>
        </x:is>
      </x:c>
      <x:c r="U221" s="5" t="inlineStr">
        <x:is>
          <x:t xml:space="preserve">Hard</x:t>
        </x:is>
      </x:c>
      <x:c r="V221" s="10" t="n">
        <x:v>3</x:v>
      </x:c>
      <x:c r="W221" s="5" t="inlineStr">
        <x:is>
          <x:t xml:space="preserve">Scenario-based planning + operator utility review</x:t>
        </x:is>
      </x:c>
      <x:c r="X221" s="5" t="inlineStr">
        <x:is>
          <x:t xml:space="preserve">schedule / checklist / operating plan</x:t>
        </x:is>
      </x:c>
      <x:c r="Y221" s="5" t="inlineStr">
        <x:is>
          <x:t xml:space="preserve">Plan is realistic, prioritized, and executable under stated constraints.</x:t>
        </x:is>
      </x:c>
      <x:c r="Z221" s="5" t="inlineStr">
        <x:is>
          <x:t xml:space="preserve">Overpacked schedule, ignored constraints, or vague next steps.</x:t>
        </x:is>
      </x:c>
      <x:c r="AA221" s="5" t="inlineStr">
        <x:is>
          <x:t xml:space="preserve">planner engine / memory / calendar-tool integration</x:t>
        </x:is>
      </x:c>
      <x:c r="AB221" s="5" t="inlineStr">
        <x:is>
          <x:t xml:space="preserve"/>
        </x:is>
      </x:c>
      <x:c r="AC221" s="5" t="inlineStr">
        <x:is>
          <x:t xml:space="preserve">Menlo consumer AI: 18% use AI to manage to-do lists and 15% to organize notes; Zao-Sanders ranked 'Organise my life' #2.</x:t>
        </x:is>
      </x:c>
      <x:c r="AD221" s="5" t="inlineStr">
        <x:is>
          <x:t xml:space="preserve">Menlo State of Consumer AI 2025; Zao-Sanders Top-100 GenAI Use Cases 2025</x:t>
        </x:is>
      </x:c>
      <x:c r="AE221" s="11">
        <x:f>IF(O221="High",20,IF(O221="Medium",10,IF(O221="Low",5,0)))+IF(P221="High",20,IF(P221="Medium",10,IF(P221="Low",5,0)))+IF(Q221="High",20,IF(Q221="Medium",10,IF(Q221="Low",5,0)))+IF(R221="High",20,IF(R221="Medium",10,IF(R221="Low",5,0)))+IF(S221="High",20,IF(S221="Medium",10,IF(S221="Low",5,0)))</x:f>
        <x:v>45</x:v>
      </x:c>
      <x:c r="AF221" s="12">
        <x:f>ROUND(H221*0.30+J221*0.25+K221*0.20+(100-AE221)*0.10+(100-(V221*20))*0.15,0)</x:f>
        <x:v>54</x:v>
      </x:c>
      <x:c r="AG221" s="13" t="str">
        <x:f>IF(AF221&gt;=80,"Batch 1",IF(AF221&gt;=70,"Batch 2",IF(AF221&gt;=60,"Batch 3","Backlog")))</x:f>
        <x:v>Backlog</x:v>
      </x:c>
      <x:c r="AH221" t="inlineStr">
        <x:is>
          <x:t xml:space="preserve"/>
        </x:is>
      </x:c>
    </x:row>
    <x:row r="222">
      <x:c r="A222" s="5" t="inlineStr">
        <x:is>
          <x:t xml:space="preserve">GPO-HEA-12</x:t>
        </x:is>
      </x:c>
      <x:c r="B222" s="5" t="n">
        <x:v>218</x:v>
      </x:c>
      <x:c r="C222" s="5" t="inlineStr">
        <x:is>
          <x:t xml:space="preserve">Health &amp; Wellness Coach</x:t>
        </x:is>
      </x:c>
      <x:c r="D222" s="5" t="inlineStr">
        <x:is>
          <x:t xml:space="preserve">Care</x:t>
        </x:is>
      </x:c>
      <x:c r="E222" s="5" t="inlineStr">
        <x:is>
          <x:t xml:space="preserve">Expansion 150</x:t>
        </x:is>
      </x:c>
      <x:c r="F222" s="5" t="n">
        <x:v>12</x:v>
      </x:c>
      <x:c r="G222" s="5" t="inlineStr">
        <x:is>
          <x:t xml:space="preserve">Build a step-by-step recovery plan after I fell off my health routine.</x:t>
        </x:is>
      </x:c>
      <x:c r="H222" s="6" t="n">
        <x:v>58</x:v>
      </x:c>
      <x:c r="I222" s="6" t="n">
        <x:v>58</x:v>
      </x:c>
      <x:c r="J222" s="7" t="n">
        <x:v>53</x:v>
      </x:c>
      <x:c r="K222" s="7" t="n">
        <x:v>56</x:v>
      </x:c>
      <x:c r="L222" s="8" t="inlineStr">
        <x:is>
          <x:t xml:space="preserve">UNTESTED</x:t>
        </x:is>
      </x:c>
      <x:c r="M222" s="9" t="inlineStr">
        <x:is>
          <x:t xml:space="preserve">UNTESTED</x:t>
        </x:is>
      </x:c>
      <x:c r="N222" s="5" t="inlineStr">
        <x:is>
          <x:t xml:space="preserve">health explanation; risk framing; behavior coaching; careful disclaimer handling</x:t>
        </x:is>
      </x:c>
      <x:c r="O222" s="5" t="inlineStr">
        <x:is>
          <x:t xml:space="preserve">Medium</x:t>
        </x:is>
      </x:c>
      <x:c r="P222" s="5" t="inlineStr">
        <x:is>
          <x:t xml:space="preserve">High</x:t>
        </x:is>
      </x:c>
      <x:c r="Q222" s="5" t="inlineStr">
        <x:is>
          <x:t xml:space="preserve">Low</x:t>
        </x:is>
      </x:c>
      <x:c r="R222" s="5" t="inlineStr">
        <x:is>
          <x:t xml:space="preserve">Low</x:t>
        </x:is>
      </x:c>
      <x:c r="S222" s="5" t="inlineStr">
        <x:is>
          <x:t xml:space="preserve">Medium</x:t>
        </x:is>
      </x:c>
      <x:c r="T222" s="5" t="inlineStr">
        <x:is>
          <x:t xml:space="preserve">ChatGPT primary with careful guardrails</x:t>
        </x:is>
      </x:c>
      <x:c r="U222" s="5" t="inlineStr">
        <x:is>
          <x:t xml:space="preserve">Medium</x:t>
        </x:is>
      </x:c>
      <x:c r="V222" s="10" t="n">
        <x:v>2</x:v>
      </x:c>
      <x:c r="W222" s="5" t="inlineStr">
        <x:is>
          <x:t xml:space="preserve">Scenario prompts + safety review + usefulness review</x:t>
        </x:is>
      </x:c>
      <x:c r="X222" s="5" t="inlineStr">
        <x:is>
          <x:t xml:space="preserve">plan / explanation / checklist / prep brief</x:t>
        </x:is>
      </x:c>
      <x:c r="Y222" s="5" t="inlineStr">
        <x:is>
          <x:t xml:space="preserve">Useful, cautious, practical guidance that stays within safe boundaries.</x:t>
        </x:is>
      </x:c>
      <x:c r="Z222" s="5" t="inlineStr">
        <x:is>
          <x:t xml:space="preserve">Overconfident medical claims, weak escalation guidance, or unsafe advice.</x:t>
        </x:is>
      </x:c>
      <x:c r="AA222" s="5" t="inlineStr">
        <x:is>
          <x:t xml:space="preserve">safety layer / health mode / evidence grounding</x:t>
        </x:is>
      </x:c>
      <x:c r="AB222" s="5" t="inlineStr">
        <x:is>
          <x:t xml:space="preserve"/>
        </x:is>
      </x:c>
      <x:c r="AC222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22" s="5" t="inlineStr">
        <x:is>
          <x:t xml:space="preserve">OpenAI Introducing GPT-5; APPC 2025 health survey; Deloitte Connected Consumer 2025</x:t>
        </x:is>
      </x:c>
      <x:c r="AE222" s="11">
        <x:f>IF(O222="High",20,IF(O222="Medium",10,IF(O222="Low",5,0)))+IF(P222="High",20,IF(P222="Medium",10,IF(P222="Low",5,0)))+IF(Q222="High",20,IF(Q222="Medium",10,IF(Q222="Low",5,0)))+IF(R222="High",20,IF(R222="Medium",10,IF(R222="Low",5,0)))+IF(S222="High",20,IF(S222="Medium",10,IF(S222="Low",5,0)))</x:f>
        <x:v>50</x:v>
      </x:c>
      <x:c r="AF222" s="12">
        <x:f>ROUND(H222*0.30+J222*0.25+K222*0.20+(100-AE222)*0.10+(100-(V222*20))*0.15,0)</x:f>
        <x:v>56</x:v>
      </x:c>
      <x:c r="AG222" s="13" t="str">
        <x:f>IF(AF222&gt;=80,"Batch 1",IF(AF222&gt;=70,"Batch 2",IF(AF222&gt;=60,"Batch 3","Backlog")))</x:f>
        <x:v>Backlog</x:v>
      </x:c>
      <x:c r="AH222" t="inlineStr">
        <x:is>
          <x:t xml:space="preserve"/>
        </x:is>
      </x:c>
    </x:row>
    <x:row r="223">
      <x:c r="A223" s="5" t="inlineStr">
        <x:is>
          <x:t xml:space="preserve">GPO-FIL-02</x:t>
        </x:is>
      </x:c>
      <x:c r="B223" s="5" t="n">
        <x:v>219</x:v>
      </x:c>
      <x:c r="C223" s="5" t="inlineStr">
        <x:is>
          <x:t xml:space="preserve">Filmmaking &amp; Video Production</x:t>
        </x:is>
      </x:c>
      <x:c r="D223" s="5" t="inlineStr">
        <x:is>
          <x:t xml:space="preserve">Create</x:t>
        </x:is>
      </x:c>
      <x:c r="E223" s="5" t="inlineStr">
        <x:is>
          <x:t xml:space="preserve">Core 150</x:t>
        </x:is>
      </x:c>
      <x:c r="F223" s="5" t="n">
        <x:v>2</x:v>
      </x:c>
      <x:c r="G223" s="5" t="inlineStr">
        <x:is>
          <x:t xml:space="preserve">Create a full AI-assisted filmmaking workflow from script to final export.</x:t>
        </x:is>
      </x:c>
      <x:c r="H223" s="6" t="n">
        <x:v>55</x:v>
      </x:c>
      <x:c r="I223" s="6" t="n">
        <x:v>55</x:v>
      </x:c>
      <x:c r="J223" s="7" t="n">
        <x:v>57</x:v>
      </x:c>
      <x:c r="K223" s="7" t="n">
        <x:v>56</x:v>
      </x:c>
      <x:c r="L223" s="8" t="inlineStr">
        <x:is>
          <x:t xml:space="preserve">UNTESTED</x:t>
        </x:is>
      </x:c>
      <x:c r="M223" s="9" t="inlineStr">
        <x:is>
          <x:t xml:space="preserve">UNTESTED</x:t>
        </x:is>
      </x:c>
      <x:c r="N223" s="5" t="inlineStr">
        <x:is>
          <x:t xml:space="preserve">shot planning; multimodal coordination; tool routing; production workflow</x:t>
        </x:is>
      </x:c>
      <x:c r="O223" s="5" t="inlineStr">
        <x:is>
          <x:t xml:space="preserve">Low</x:t>
        </x:is>
      </x:c>
      <x:c r="P223" s="5" t="inlineStr">
        <x:is>
          <x:t xml:space="preserve">Medium</x:t>
        </x:is>
      </x:c>
      <x:c r="Q223" s="5" t="inlineStr">
        <x:is>
          <x:t xml:space="preserve">High</x:t>
        </x:is>
      </x:c>
      <x:c r="R223" s="5" t="inlineStr">
        <x:is>
          <x:t xml:space="preserve">High</x:t>
        </x:is>
      </x:c>
      <x:c r="S223" s="5" t="inlineStr">
        <x:is>
          <x:t xml:space="preserve">Medium</x:t>
        </x:is>
      </x:c>
      <x:c r="T223" s="5" t="inlineStr">
        <x:is>
          <x:t xml:space="preserve">Claude planning + external video/image tools</x:t>
        </x:is>
      </x:c>
      <x:c r="U223" s="5" t="inlineStr">
        <x:is>
          <x:t xml:space="preserve">Hard</x:t>
        </x:is>
      </x:c>
      <x:c r="V223" s="10" t="n">
        <x:v>3</x:v>
      </x:c>
      <x:c r="W223" s="5" t="inlineStr">
        <x:is>
          <x:t xml:space="preserve">Workflow plan + asset chain review</x:t>
        </x:is>
      </x:c>
      <x:c r="X223" s="5" t="inlineStr">
        <x:is>
          <x:t xml:space="preserve">shot list / storyboard / production workflow / tool stack recommendation</x:t>
        </x:is>
      </x:c>
      <x:c r="Y223" s="5" t="inlineStr">
        <x:is>
          <x:t xml:space="preserve">Workflow is executable with current tools and preserves consistency across assets.</x:t>
        </x:is>
      </x:c>
      <x:c r="Z223" s="5" t="inlineStr">
        <x:is>
          <x:t xml:space="preserve">Ignores tool limits, no consistency strategy, or vague production logic.</x:t>
        </x:is>
      </x:c>
      <x:c r="AA223" s="5" t="inlineStr">
        <x:is>
          <x:t xml:space="preserve">multimodal orchestration / provider routing / asset schema</x:t>
        </x:is>
      </x:c>
      <x:c r="AB223" s="5" t="inlineStr">
        <x:is>
          <x:t xml:space="preserve"/>
        </x:is>
      </x:c>
      <x:c r="AC223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23" s="5" t="inlineStr">
        <x:is>
          <x:t xml:space="preserve">Wondercraft/Digiday creator workflow survey 2025; Artificial Analysis generative media survey 2025; Reuters/Canal+ 2026</x:t>
        </x:is>
      </x:c>
      <x:c r="AE223" s="11">
        <x:f>IF(O223="High",20,IF(O223="Medium",10,IF(O223="Low",5,0)))+IF(P223="High",20,IF(P223="Medium",10,IF(P223="Low",5,0)))+IF(Q223="High",20,IF(Q223="Medium",10,IF(Q223="Low",5,0)))+IF(R223="High",20,IF(R223="Medium",10,IF(R223="Low",5,0)))+IF(S223="High",20,IF(S223="Medium",10,IF(S223="Low",5,0)))</x:f>
        <x:v>65</x:v>
      </x:c>
      <x:c r="AF223" s="12">
        <x:f>ROUND(H223*0.30+J223*0.25+K223*0.20+(100-AE223)*0.10+(100-(V223*20))*0.15,0)</x:f>
        <x:v>51</x:v>
      </x:c>
      <x:c r="AG223" s="13" t="str">
        <x:f>IF(AF223&gt;=80,"Batch 1",IF(AF223&gt;=70,"Batch 2",IF(AF223&gt;=60,"Batch 3","Backlog")))</x:f>
        <x:v>Backlog</x:v>
      </x:c>
      <x:c r="AH223" t="inlineStr">
        <x:is>
          <x:t xml:space="preserve"/>
        </x:is>
      </x:c>
    </x:row>
    <x:row r="224">
      <x:c r="A224" s="5" t="inlineStr">
        <x:is>
          <x:t xml:space="preserve">GPO-PER-16</x:t>
        </x:is>
      </x:c>
      <x:c r="B224" s="5" t="n">
        <x:v>220</x:v>
      </x:c>
      <x:c r="C224" s="5" t="inlineStr">
        <x:is>
          <x:t xml:space="preserve">Personal Finance &amp; Investing</x:t>
        </x:is>
      </x:c>
      <x:c r="D224" s="5" t="inlineStr">
        <x:is>
          <x:t xml:space="preserve">Money</x:t>
        </x:is>
      </x:c>
      <x:c r="E224" s="5" t="inlineStr">
        <x:is>
          <x:t xml:space="preserve">Expansion 150</x:t>
        </x:is>
      </x:c>
      <x:c r="F224" s="5" t="n">
        <x:v>16</x:v>
      </x:c>
      <x:c r="G224" s="5" t="inlineStr">
        <x:is>
          <x:t xml:space="preserve">Build a monthly money operating system: bills, savings, investing, review cadence.</x:t>
        </x:is>
      </x:c>
      <x:c r="H224" s="6" t="n">
        <x:v>48</x:v>
      </x:c>
      <x:c r="I224" s="6" t="n">
        <x:v>48</x:v>
      </x:c>
      <x:c r="J224" s="7" t="n">
        <x:v>66</x:v>
      </x:c>
      <x:c r="K224" s="7" t="n">
        <x:v>56</x:v>
      </x:c>
      <x:c r="L224" s="8" t="inlineStr">
        <x:is>
          <x:t xml:space="preserve">UNTESTED</x:t>
        </x:is>
      </x:c>
      <x:c r="M224" s="9" t="inlineStr">
        <x:is>
          <x:t xml:space="preserve">UNTESTED</x:t>
        </x:is>
      </x:c>
      <x:c r="N224" s="5" t="inlineStr">
        <x:is>
          <x:t xml:space="preserve">scenario modeling; budgeting; portfolio reasoning; decision framing</x:t>
        </x:is>
      </x:c>
      <x:c r="O224" s="5" t="inlineStr">
        <x:is>
          <x:t xml:space="preserve">Medium</x:t>
        </x:is>
      </x:c>
      <x:c r="P224" s="5" t="inlineStr">
        <x:is>
          <x:t xml:space="preserve">High</x:t>
        </x:is>
      </x:c>
      <x:c r="Q224" s="5" t="inlineStr">
        <x:is>
          <x:t xml:space="preserve">Medium</x:t>
        </x:is>
      </x:c>
      <x:c r="R224" s="5" t="inlineStr">
        <x:is>
          <x:t xml:space="preserve">Low</x:t>
        </x:is>
      </x:c>
      <x:c r="S224" s="5" t="inlineStr">
        <x:is>
          <x:t xml:space="preserve">Medium</x:t>
        </x:is>
      </x:c>
      <x:c r="T224" s="5" t="inlineStr">
        <x:is>
          <x:t xml:space="preserve">ChatGPT or Claude with spreadsheet support</x:t>
        </x:is>
      </x:c>
      <x:c r="U224" s="5" t="inlineStr">
        <x:is>
          <x:t xml:space="preserve">Medium</x:t>
        </x:is>
      </x:c>
      <x:c r="V224" s="10" t="n">
        <x:v>2</x:v>
      </x:c>
      <x:c r="W224" s="5" t="inlineStr">
        <x:is>
          <x:t xml:space="preserve">Scenario modeling + coherence review</x:t>
        </x:is>
      </x:c>
      <x:c r="X224" s="5" t="inlineStr">
        <x:is>
          <x:t xml:space="preserve">budget / model / plan / recommendation</x:t>
        </x:is>
      </x:c>
      <x:c r="Y224" s="5" t="inlineStr">
        <x:is>
          <x:t xml:space="preserve">Advice is numerically coherent, practical, and transparent about assumptions.</x:t>
        </x:is>
      </x:c>
      <x:c r="Z224" s="5" t="inlineStr">
        <x:is>
          <x:t xml:space="preserve">Bad math, missing assumptions, or overconfident investment guidance.</x:t>
        </x:is>
      </x:c>
      <x:c r="AA224" s="5" t="inlineStr">
        <x:is>
          <x:t xml:space="preserve">financial calculator / assumption schema / spreadsheet outputs</x:t>
        </x:is>
      </x:c>
      <x:c r="AB224" s="5" t="inlineStr">
        <x:is>
          <x:t xml:space="preserve"/>
        </x:is>
      </x:c>
      <x:c r="AC224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24" s="5" t="inlineStr">
        <x:is>
          <x:t xml:space="preserve">FNBO Financial Wellbeing Study 2025; NerdWallet/Harris Poll 2026; PlanAdviser 2026</x:t>
        </x:is>
      </x:c>
      <x:c r="AE224" s="11">
        <x:f>IF(O224="High",20,IF(O224="Medium",10,IF(O224="Low",5,0)))+IF(P224="High",20,IF(P224="Medium",10,IF(P224="Low",5,0)))+IF(Q224="High",20,IF(Q224="Medium",10,IF(Q224="Low",5,0)))+IF(R224="High",20,IF(R224="Medium",10,IF(R224="Low",5,0)))+IF(S224="High",20,IF(S224="Medium",10,IF(S224="Low",5,0)))</x:f>
        <x:v>55</x:v>
      </x:c>
      <x:c r="AF224" s="12">
        <x:f>ROUND(H224*0.30+J224*0.25+K224*0.20+(100-AE224)*0.10+(100-(V224*20))*0.15,0)</x:f>
        <x:v>56</x:v>
      </x:c>
      <x:c r="AG224" s="13" t="str">
        <x:f>IF(AF224&gt;=80,"Batch 1",IF(AF224&gt;=70,"Batch 2",IF(AF224&gt;=60,"Batch 3","Backlog")))</x:f>
        <x:v>Backlog</x:v>
      </x:c>
      <x:c r="AH224" t="inlineStr">
        <x:is>
          <x:t xml:space="preserve"/>
        </x:is>
      </x:c>
    </x:row>
    <x:row r="225">
      <x:c r="A225" s="5" t="inlineStr">
        <x:is>
          <x:t xml:space="preserve">GPO-SCR-11</x:t>
        </x:is>
      </x:c>
      <x:c r="B225" s="5" t="n">
        <x:v>221</x:v>
      </x:c>
      <x:c r="C225" s="5" t="inlineStr">
        <x:is>
          <x:t xml:space="preserve">Screenwriting &amp; Story Development</x:t>
        </x:is>
      </x:c>
      <x:c r="D225" s="5" t="inlineStr">
        <x:is>
          <x:t xml:space="preserve">Create</x:t>
        </x:is>
      </x:c>
      <x:c r="E225" s="5" t="inlineStr">
        <x:is>
          <x:t xml:space="preserve">Expansion 150</x:t>
        </x:is>
      </x:c>
      <x:c r="F225" s="5" t="n">
        <x:v>11</x:v>
      </x:c>
      <x:c r="G225" s="5" t="inlineStr">
        <x:is>
          <x:t xml:space="preserve">Help me build a Telugu/Indian/global cultural texture into this story authentically.</x:t>
        </x:is>
      </x:c>
      <x:c r="H225" s="6" t="n">
        <x:v>46</x:v>
      </x:c>
      <x:c r="I225" s="6" t="n">
        <x:v>46</x:v>
      </x:c>
      <x:c r="J225" s="7" t="n">
        <x:v>69</x:v>
      </x:c>
      <x:c r="K225" s="7" t="n">
        <x:v>56</x:v>
      </x:c>
      <x:c r="L225" s="8" t="inlineStr">
        <x:is>
          <x:t xml:space="preserve">UNTESTED</x:t>
        </x:is>
      </x:c>
      <x:c r="M225" s="9" t="inlineStr">
        <x:is>
          <x:t xml:space="preserve">UNTESTED</x:t>
        </x:is>
      </x:c>
      <x:c r="N225" s="5" t="inlineStr">
        <x:is>
          <x:t xml:space="preserve">creative ideation; story structure; tone control; character design</x:t>
        </x:is>
      </x:c>
      <x:c r="O225" s="5" t="inlineStr">
        <x:is>
          <x:t xml:space="preserve">Low</x:t>
        </x:is>
      </x:c>
      <x:c r="P225" s="5" t="inlineStr">
        <x:is>
          <x:t xml:space="preserve">Medium</x:t>
        </x:is>
      </x:c>
      <x:c r="Q225" s="5" t="inlineStr">
        <x:is>
          <x:t xml:space="preserve">Low</x:t>
        </x:is>
      </x:c>
      <x:c r="R225" s="5" t="inlineStr">
        <x:is>
          <x:t xml:space="preserve">Low</x:t>
        </x:is>
      </x:c>
      <x:c r="S225" s="5" t="inlineStr">
        <x:is>
          <x:t xml:space="preserve">Low</x:t>
        </x:is>
      </x:c>
      <x:c r="T225" s="5" t="inlineStr">
        <x:is>
          <x:t xml:space="preserve">ChatGPT or Claude creative mode</x:t>
        </x:is>
      </x:c>
      <x:c r="U225" s="5" t="inlineStr">
        <x:is>
          <x:t xml:space="preserve">Easy</x:t>
        </x:is>
      </x:c>
      <x:c r="V225" s="10" t="n">
        <x:v>1</x:v>
      </x:c>
      <x:c r="W225" s="5" t="inlineStr">
        <x:is>
          <x:t xml:space="preserve">Creative prompt run + human taste review</x:t>
        </x:is>
      </x:c>
      <x:c r="X225" s="5" t="inlineStr">
        <x:is>
          <x:t xml:space="preserve">logline / outline / scene rewrite / treatment</x:t>
        </x:is>
      </x:c>
      <x:c r="Y225" s="5" t="inlineStr">
        <x:is>
          <x:t xml:space="preserve">Story work feels coherent, original, and emotionally alive.</x:t>
        </x:is>
      </x:c>
      <x:c r="Z225" s="5" t="inlineStr">
        <x:is>
          <x:t xml:space="preserve">Cliche ideas, flat dialogue, weak stakes, or no tonal discipline.</x:t>
        </x:is>
      </x:c>
      <x:c r="AA225" s="5" t="inlineStr">
        <x:is>
          <x:t xml:space="preserve">creative mode / style packs / development workflow</x:t>
        </x:is>
      </x:c>
      <x:c r="AB225" s="5" t="inlineStr">
        <x:is>
          <x:t xml:space="preserve"/>
        </x:is>
      </x:c>
      <x:c r="AC225" s="5" t="inlineStr">
        <x:is>
          <x:t xml:space="preserve">OpenAI practical guidance includes creative ideation; creator surveys show broad use of generative AI in creative workflows.</x:t>
        </x:is>
      </x:c>
      <x:c r="AD225" s="5" t="inlineStr">
        <x:is>
          <x:t xml:space="preserve">OpenAI How People Use ChatGPT paper; Adobe creators survey 2025; Wondercraft/Digiday creator workflow survey 2025</x:t>
        </x:is>
      </x:c>
      <x:c r="AE225" s="11">
        <x:f>IF(O225="High",20,IF(O225="Medium",10,IF(O225="Low",5,0)))+IF(P225="High",20,IF(P225="Medium",10,IF(P225="Low",5,0)))+IF(Q225="High",20,IF(Q225="Medium",10,IF(Q225="Low",5,0)))+IF(R225="High",20,IF(R225="Medium",10,IF(R225="Low",5,0)))+IF(S225="High",20,IF(S225="Medium",10,IF(S225="Low",5,0)))</x:f>
        <x:v>30</x:v>
      </x:c>
      <x:c r="AF225" s="12">
        <x:f>ROUND(H225*0.30+J225*0.25+K225*0.20+(100-AE225)*0.10+(100-(V225*20))*0.15,0)</x:f>
        <x:v>61</x:v>
      </x:c>
      <x:c r="AG225" s="13" t="str">
        <x:f>IF(AF225&gt;=80,"Batch 1",IF(AF225&gt;=70,"Batch 2",IF(AF225&gt;=60,"Batch 3","Backlog")))</x:f>
        <x:v>Batch 3</x:v>
      </x:c>
      <x:c r="AH225" t="inlineStr">
        <x:is>
          <x:t xml:space="preserve"/>
        </x:is>
      </x:c>
    </x:row>
    <x:row r="226">
      <x:c r="A226" s="5" t="inlineStr">
        <x:is>
          <x:t xml:space="preserve">GPO-TRA-18</x:t>
        </x:is>
      </x:c>
      <x:c r="B226" s="5" t="n">
        <x:v>222</x:v>
      </x:c>
      <x:c r="C226" s="5" t="inlineStr">
        <x:is>
          <x:t xml:space="preserve">Travel &amp; Relocation Planner</x:t>
        </x:is>
      </x:c>
      <x:c r="D226" s="5" t="inlineStr">
        <x:is>
          <x:t xml:space="preserve">Move</x:t>
        </x:is>
      </x:c>
      <x:c r="E226" s="5" t="inlineStr">
        <x:is>
          <x:t xml:space="preserve">Expansion 150</x:t>
        </x:is>
      </x:c>
      <x:c r="F226" s="5" t="n">
        <x:v>18</x:v>
      </x:c>
      <x:c r="G226" s="5" t="inlineStr">
        <x:is>
          <x:t xml:space="preserve">Plan a financially smart long stay in this city.</x:t>
        </x:is>
      </x:c>
      <x:c r="H226" s="6" t="n">
        <x:v>46</x:v>
      </x:c>
      <x:c r="I226" s="6" t="n">
        <x:v>46</x:v>
      </x:c>
      <x:c r="J226" s="7" t="n">
        <x:v>69</x:v>
      </x:c>
      <x:c r="K226" s="7" t="n">
        <x:v>56</x:v>
      </x:c>
      <x:c r="L226" s="8" t="inlineStr">
        <x:is>
          <x:t xml:space="preserve">UNTESTED</x:t>
        </x:is>
      </x:c>
      <x:c r="M226" s="9" t="inlineStr">
        <x:is>
          <x:t xml:space="preserve">UNTESTED</x:t>
        </x:is>
      </x:c>
      <x:c r="N226" s="5" t="inlineStr">
        <x:is>
          <x:t xml:space="preserve">travel research; itinerary planning; logistics reasoning; contingency planning</x:t>
        </x:is>
      </x:c>
      <x:c r="O226" s="5" t="inlineStr">
        <x:is>
          <x:t xml:space="preserve">High</x:t>
        </x:is>
      </x:c>
      <x:c r="P226" s="5" t="inlineStr">
        <x:is>
          <x:t xml:space="preserve">Medium</x:t>
        </x:is>
      </x:c>
      <x:c r="Q226" s="5" t="inlineStr">
        <x:is>
          <x:t xml:space="preserve">Medium</x:t>
        </x:is>
      </x:c>
      <x:c r="R226" s="5" t="inlineStr">
        <x:is>
          <x:t xml:space="preserve">Low</x:t>
        </x:is>
      </x:c>
      <x:c r="S226" s="5" t="inlineStr">
        <x:is>
          <x:t xml:space="preserve">Low</x:t>
        </x:is>
      </x:c>
      <x:c r="T226" s="5" t="inlineStr">
        <x:is>
          <x:t xml:space="preserve">ChatGPT with web; maps/calendar later</x:t>
        </x:is>
      </x:c>
      <x:c r="U226" s="5" t="inlineStr">
        <x:is>
          <x:t xml:space="preserve">Medium</x:t>
        </x:is>
      </x:c>
      <x:c r="V226" s="10" t="n">
        <x:v>2</x:v>
      </x:c>
      <x:c r="W226" s="5" t="inlineStr">
        <x:is>
          <x:t xml:space="preserve">Live trip planning + feasibility review</x:t>
        </x:is>
      </x:c>
      <x:c r="X226" s="5" t="inlineStr">
        <x:is>
          <x:t xml:space="preserve">itinerary / relocation plan / checklist</x:t>
        </x:is>
      </x:c>
      <x:c r="Y226" s="5" t="inlineStr">
        <x:is>
          <x:t xml:space="preserve">Plan is current, geographically sensible, and tuned to budget/constraints.</x:t>
        </x:is>
      </x:c>
      <x:c r="Z226" s="5" t="inlineStr">
        <x:is>
          <x:t xml:space="preserve">Bad logistics, stale info, wrong timing, or generic travel advice.</x:t>
        </x:is>
      </x:c>
      <x:c r="AA226" s="5" t="inlineStr">
        <x:is>
          <x:t xml:space="preserve">travel templates / web + mapping integration / logistics engine</x:t>
        </x:is>
      </x:c>
      <x:c r="AB226" s="5" t="inlineStr">
        <x:is>
          <x:t xml:space="preserve"/>
        </x:is>
      </x:c>
      <x:c r="AC226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26" s="5" t="inlineStr">
        <x:is>
          <x:t xml:space="preserve">Deloitte Connected Consumer 2025; Adobe travel planning 2025</x:t>
        </x:is>
      </x:c>
      <x:c r="AE226" s="11">
        <x:f>IF(O226="High",20,IF(O226="Medium",10,IF(O226="Low",5,0)))+IF(P226="High",20,IF(P226="Medium",10,IF(P226="Low",5,0)))+IF(Q226="High",20,IF(Q226="Medium",10,IF(Q226="Low",5,0)))+IF(R226="High",20,IF(R226="Medium",10,IF(R226="Low",5,0)))+IF(S226="High",20,IF(S226="Medium",10,IF(S226="Low",5,0)))</x:f>
        <x:v>50</x:v>
      </x:c>
      <x:c r="AF226" s="12">
        <x:f>ROUND(H226*0.30+J226*0.25+K226*0.20+(100-AE226)*0.10+(100-(V226*20))*0.15,0)</x:f>
        <x:v>56</x:v>
      </x:c>
      <x:c r="AG226" s="13" t="str">
        <x:f>IF(AF226&gt;=80,"Batch 1",IF(AF226&gt;=70,"Batch 2",IF(AF226&gt;=60,"Batch 3","Backlog")))</x:f>
        <x:v>Backlog</x:v>
      </x:c>
      <x:c r="AH226" t="inlineStr">
        <x:is>
          <x:t xml:space="preserve"/>
        </x:is>
      </x:c>
    </x:row>
    <x:row r="227">
      <x:c r="A227" s="5" t="inlineStr">
        <x:is>
          <x:t xml:space="preserve">GPO-MUS-03</x:t>
        </x:is>
      </x:c>
      <x:c r="B227" s="5" t="n">
        <x:v>223</x:v>
      </x:c>
      <x:c r="C227" s="5" t="inlineStr">
        <x:is>
          <x:t xml:space="preserve">Music &amp; Audio Creation</x:t>
        </x:is>
      </x:c>
      <x:c r="D227" s="5" t="inlineStr">
        <x:is>
          <x:t xml:space="preserve">Create</x:t>
        </x:is>
      </x:c>
      <x:c r="E227" s="5" t="inlineStr">
        <x:is>
          <x:t xml:space="preserve">Core 150</x:t>
        </x:is>
      </x:c>
      <x:c r="F227" s="5" t="n">
        <x:v>3</x:v>
      </x:c>
      <x:c r="G227" s="5" t="inlineStr">
        <x:is>
          <x:t xml:space="preserve">Turn this melody/idea into chords, arrangement, and song structure.</x:t>
        </x:is>
      </x:c>
      <x:c r="H227" s="6" t="n">
        <x:v>50</x:v>
      </x:c>
      <x:c r="I227" s="6" t="n">
        <x:v>50</x:v>
      </x:c>
      <x:c r="J227" s="7" t="n">
        <x:v>63</x:v>
      </x:c>
      <x:c r="K227" s="7" t="n">
        <x:v>56</x:v>
      </x:c>
      <x:c r="L227" s="8" t="inlineStr">
        <x:is>
          <x:t xml:space="preserve">UNTESTED</x:t>
        </x:is>
      </x:c>
      <x:c r="M227" s="9" t="inlineStr">
        <x:is>
          <x:t xml:space="preserve">UNTESTED</x:t>
        </x:is>
      </x:c>
      <x:c r="N227" s="5" t="inlineStr">
        <x:is>
          <x:t xml:space="preserve">theory help; composition support; practice coaching; audio workflow planning</x:t>
        </x:is>
      </x:c>
      <x:c r="O227" s="5" t="inlineStr">
        <x:is>
          <x:t xml:space="preserve">Low</x:t>
        </x:is>
      </x:c>
      <x:c r="P227" s="5" t="inlineStr">
        <x:is>
          <x:t xml:space="preserve">Medium</x:t>
        </x:is>
      </x:c>
      <x:c r="Q227" s="5" t="inlineStr">
        <x:is>
          <x:t xml:space="preserve">Medium</x:t>
        </x:is>
      </x:c>
      <x:c r="R227" s="5" t="inlineStr">
        <x:is>
          <x:t xml:space="preserve">Low</x:t>
        </x:is>
      </x:c>
      <x:c r="S227" s="5" t="inlineStr">
        <x:is>
          <x:t xml:space="preserve">Medium</x:t>
        </x:is>
      </x:c>
      <x:c r="T227" s="5" t="inlineStr">
        <x:is>
          <x:t xml:space="preserve">ChatGPT/Claude planning + external music tools</x:t>
        </x:is>
      </x:c>
      <x:c r="U227" s="5" t="inlineStr">
        <x:is>
          <x:t xml:space="preserve">Medium</x:t>
        </x:is>
      </x:c>
      <x:c r="V227" s="10" t="n">
        <x:v>2</x:v>
      </x:c>
      <x:c r="W227" s="5" t="inlineStr">
        <x:is>
          <x:t xml:space="preserve">Creative coaching + workflow review</x:t>
        </x:is>
      </x:c>
      <x:c r="X227" s="5" t="inlineStr">
        <x:is>
          <x:t xml:space="preserve">practice plan / composition guide / arrangement brief</x:t>
        </x:is>
      </x:c>
      <x:c r="Y227" s="5" t="inlineStr">
        <x:is>
          <x:t xml:space="preserve">Output helps create or learn music in a concrete, musically coherent way.</x:t>
        </x:is>
      </x:c>
      <x:c r="Z227" s="5" t="inlineStr">
        <x:is>
          <x:t xml:space="preserve">Musically weak suggestions, generic advice, or no usable next step.</x:t>
        </x:is>
      </x:c>
      <x:c r="AA227" s="5" t="inlineStr">
        <x:is>
          <x:t xml:space="preserve">music mode / external tool routing / structured lesson outputs</x:t>
        </x:is>
      </x:c>
      <x:c r="AB227" s="5" t="inlineStr">
        <x:is>
          <x:t xml:space="preserve"/>
        </x:is>
      </x:c>
      <x:c r="AC227" s="5" t="inlineStr">
        <x:is>
          <x:t xml:space="preserve">Music-maker surveys show strong AI usage in parts of workflow, but full-song generation is less appealing; consumer trust remains mixed.</x:t>
        </x:is>
      </x:c>
      <x:c r="AD227" s="5" t="inlineStr">
        <x:is>
          <x:t xml:space="preserve">LANDR study 2025; PRS for Music 2026; Bain media survey 2025</x:t>
        </x:is>
      </x:c>
      <x:c r="AE227" s="11">
        <x:f>IF(O227="High",20,IF(O227="Medium",10,IF(O227="Low",5,0)))+IF(P227="High",20,IF(P227="Medium",10,IF(P227="Low",5,0)))+IF(Q227="High",20,IF(Q227="Medium",10,IF(Q227="Low",5,0)))+IF(R227="High",20,IF(R227="Medium",10,IF(R227="Low",5,0)))+IF(S227="High",20,IF(S227="Medium",10,IF(S227="Low",5,0)))</x:f>
        <x:v>40</x:v>
      </x:c>
      <x:c r="AF227" s="12">
        <x:f>ROUND(H227*0.30+J227*0.25+K227*0.20+(100-AE227)*0.10+(100-(V227*20))*0.15,0)</x:f>
        <x:v>57</x:v>
      </x:c>
      <x:c r="AG227" s="13" t="str">
        <x:f>IF(AF227&gt;=80,"Batch 1",IF(AF227&gt;=70,"Batch 2",IF(AF227&gt;=60,"Batch 3","Backlog")))</x:f>
        <x:v>Backlog</x:v>
      </x:c>
      <x:c r="AH227" t="inlineStr">
        <x:is>
          <x:t xml:space="preserve"/>
        </x:is>
      </x:c>
    </x:row>
    <x:row r="228">
      <x:c r="A228" s="5" t="inlineStr">
        <x:is>
          <x:t xml:space="preserve">GPO-SHO-20</x:t>
        </x:is>
      </x:c>
      <x:c r="B228" s="5" t="n">
        <x:v>224</x:v>
      </x:c>
      <x:c r="C228" s="5" t="inlineStr">
        <x:is>
          <x:t xml:space="preserve">Shopping &amp; Buying Advisor</x:t>
        </x:is>
      </x:c>
      <x:c r="D228" s="5" t="inlineStr">
        <x:is>
          <x:t xml:space="preserve">Buy</x:t>
        </x:is>
      </x:c>
      <x:c r="E228" s="5" t="inlineStr">
        <x:is>
          <x:t xml:space="preserve">Expansion 150</x:t>
        </x:is>
      </x:c>
      <x:c r="F228" s="5" t="n">
        <x:v>20</x:v>
      </x:c>
      <x:c r="G228" s="5" t="inlineStr">
        <x:is>
          <x:t xml:space="preserve">Help me decide whether to upgrade now or wait for the next release.</x:t>
        </x:is>
      </x:c>
      <x:c r="H228" s="6" t="n">
        <x:v>45</x:v>
      </x:c>
      <x:c r="I228" s="6" t="n">
        <x:v>45</x:v>
      </x:c>
      <x:c r="J228" s="7" t="n">
        <x:v>70</x:v>
      </x:c>
      <x:c r="K228" s="7" t="n">
        <x:v>56</x:v>
      </x:c>
      <x:c r="L228" s="8" t="inlineStr">
        <x:is>
          <x:t xml:space="preserve">UNTESTED</x:t>
        </x:is>
      </x:c>
      <x:c r="M228" s="9" t="inlineStr">
        <x:is>
          <x:t xml:space="preserve">UNTESTED</x:t>
        </x:is>
      </x:c>
      <x:c r="N228" s="5" t="inlineStr">
        <x:is>
          <x:t xml:space="preserve">web/product research; comparison; price-value reasoning; shortlist generation</x:t>
        </x:is>
      </x:c>
      <x:c r="O228" s="5" t="inlineStr">
        <x:is>
          <x:t xml:space="preserve">High</x:t>
        </x:is>
      </x:c>
      <x:c r="P228" s="5" t="inlineStr">
        <x:is>
          <x:t xml:space="preserve">Medium</x:t>
        </x:is>
      </x:c>
      <x:c r="Q228" s="5" t="inlineStr">
        <x:is>
          <x:t xml:space="preserve">Medium</x:t>
        </x:is>
      </x:c>
      <x:c r="R228" s="5" t="inlineStr">
        <x:is>
          <x:t xml:space="preserve">Low</x:t>
        </x:is>
      </x:c>
      <x:c r="S228" s="5" t="inlineStr">
        <x:is>
          <x:t xml:space="preserve">Low</x:t>
        </x:is>
      </x:c>
      <x:c r="T228" s="5" t="inlineStr">
        <x:is>
          <x:t xml:space="preserve">ChatGPT with web</x:t>
        </x:is>
      </x:c>
      <x:c r="U228" s="5" t="inlineStr">
        <x:is>
          <x:t xml:space="preserve">Medium</x:t>
        </x:is>
      </x:c>
      <x:c r="V228" s="10" t="n">
        <x:v>2</x:v>
      </x:c>
      <x:c r="W228" s="5" t="inlineStr">
        <x:is>
          <x:t xml:space="preserve">Live shopping query + recommendation validation</x:t>
        </x:is>
      </x:c>
      <x:c r="X228" s="5" t="inlineStr">
        <x:is>
          <x:t xml:space="preserve">shortlist / recommendation / comparison / cart plan</x:t>
        </x:is>
      </x:c>
      <x:c r="Y228" s="5" t="inlineStr">
        <x:is>
          <x:t xml:space="preserve">Recommendation fits constraints and explains tradeoffs clearly.</x:t>
        </x:is>
      </x:c>
      <x:c r="Z228" s="5" t="inlineStr">
        <x:is>
          <x:t xml:space="preserve">Outdated products, poor fit, missed constraints, or shallow comparison.</x:t>
        </x:is>
      </x:c>
      <x:c r="AA228" s="5" t="inlineStr">
        <x:is>
          <x:t xml:space="preserve">web/product retrieval / comparison template / user preference memory</x:t>
        </x:is>
      </x:c>
      <x:c r="AB228" s="5" t="inlineStr">
        <x:is>
          <x:t xml:space="preserve"/>
        </x:is>
      </x:c>
      <x:c r="AC228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28" s="5" t="inlineStr">
        <x:is>
          <x:t xml:space="preserve">Deloitte Connected Consumer 2025; Salesforce Connected Shopper 2025; IAB 2025 shopping study</x:t>
        </x:is>
      </x:c>
      <x:c r="AE228" s="11">
        <x:f>IF(O228="High",20,IF(O228="Medium",10,IF(O228="Low",5,0)))+IF(P228="High",20,IF(P228="Medium",10,IF(P228="Low",5,0)))+IF(Q228="High",20,IF(Q228="Medium",10,IF(Q228="Low",5,0)))+IF(R228="High",20,IF(R228="Medium",10,IF(R228="Low",5,0)))+IF(S228="High",20,IF(S228="Medium",10,IF(S228="Low",5,0)))</x:f>
        <x:v>50</x:v>
      </x:c>
      <x:c r="AF228" s="12">
        <x:f>ROUND(H228*0.30+J228*0.25+K228*0.20+(100-AE228)*0.10+(100-(V228*20))*0.15,0)</x:f>
        <x:v>56</x:v>
      </x:c>
      <x:c r="AG228" s="13" t="str">
        <x:f>IF(AF228&gt;=80,"Batch 1",IF(AF228&gt;=70,"Batch 2",IF(AF228&gt;=60,"Batch 3","Backlog")))</x:f>
        <x:v>Backlog</x:v>
      </x:c>
      <x:c r="AH228" t="inlineStr">
        <x:is>
          <x:t xml:space="preserve"/>
        </x:is>
      </x:c>
    </x:row>
    <x:row r="229">
      <x:c r="A229" s="5" t="inlineStr">
        <x:is>
          <x:t xml:space="preserve">GPO-STA-16</x:t>
        </x:is>
      </x:c>
      <x:c r="B229" s="5" t="n">
        <x:v>225</x:v>
      </x:c>
      <x:c r="C229" s="5" t="inlineStr">
        <x:is>
          <x:t xml:space="preserve">Startup &amp; Business Builder</x:t>
        </x:is>
      </x:c>
      <x:c r="D229" s="5" t="inlineStr">
        <x:is>
          <x:t xml:space="preserve">Build</x:t>
        </x:is>
      </x:c>
      <x:c r="E229" s="5" t="inlineStr">
        <x:is>
          <x:t xml:space="preserve">Expansion 150</x:t>
        </x:is>
      </x:c>
      <x:c r="F229" s="5" t="n">
        <x:v>16</x:v>
      </x:c>
      <x:c r="G229" s="5" t="inlineStr">
        <x:is>
          <x:t xml:space="preserve">Create a founder checklist for legal, payments, analytics, and basic ops.</x:t>
        </x:is>
      </x:c>
      <x:c r="H229" s="6" t="n">
        <x:v>46</x:v>
      </x:c>
      <x:c r="I229" s="6" t="n">
        <x:v>46</x:v>
      </x:c>
      <x:c r="J229" s="7" t="n">
        <x:v>68</x:v>
      </x:c>
      <x:c r="K229" s="7" t="n">
        <x:v>56</x:v>
      </x:c>
      <x:c r="L229" s="8" t="inlineStr">
        <x:is>
          <x:t xml:space="preserve">UNTESTED</x:t>
        </x:is>
      </x:c>
      <x:c r="M229" s="9" t="inlineStr">
        <x:is>
          <x:t xml:space="preserve">UNTESTED</x:t>
        </x:is>
      </x:c>
      <x:c r="N229" s="5" t="inlineStr">
        <x:is>
          <x:t xml:space="preserve">strategy; product thinking; GTM reasoning; structured planning</x:t>
        </x:is>
      </x:c>
      <x:c r="O229" s="5" t="inlineStr">
        <x:is>
          <x:t xml:space="preserve">Medium</x:t>
        </x:is>
      </x:c>
      <x:c r="P229" s="5" t="inlineStr">
        <x:is>
          <x:t xml:space="preserve">High</x:t>
        </x:is>
      </x:c>
      <x:c r="Q229" s="5" t="inlineStr">
        <x:is>
          <x:t xml:space="preserve">Low</x:t>
        </x:is>
      </x:c>
      <x:c r="R229" s="5" t="inlineStr">
        <x:is>
          <x:t xml:space="preserve">Medium</x:t>
        </x:is>
      </x:c>
      <x:c r="S229" s="5" t="inlineStr">
        <x:is>
          <x:t xml:space="preserve">Low</x:t>
        </x:is>
      </x:c>
      <x:c r="T229" s="5" t="inlineStr">
        <x:is>
          <x:t xml:space="preserve">Claude + ChatGPT combo</x:t>
        </x:is>
      </x:c>
      <x:c r="U229" s="5" t="inlineStr">
        <x:is>
          <x:t xml:space="preserve">Medium</x:t>
        </x:is>
      </x:c>
      <x:c r="V229" s="10" t="n">
        <x:v>2</x:v>
      </x:c>
      <x:c r="W229" s="5" t="inlineStr">
        <x:is>
          <x:t xml:space="preserve">Plan generation + critique + strategic review</x:t>
        </x:is>
      </x:c>
      <x:c r="X229" s="5" t="inlineStr">
        <x:is>
          <x:t xml:space="preserve">roadmap / GTM plan / business memo</x:t>
        </x:is>
      </x:c>
      <x:c r="Y229" s="5" t="inlineStr">
        <x:is>
          <x:t xml:space="preserve">Recommendation is strategically sharp, prioritized, and grounded in market reality.</x:t>
        </x:is>
      </x:c>
      <x:c r="Z229" s="5" t="inlineStr">
        <x:is>
          <x:t xml:space="preserve">Buzzwordy output, no wedge, weak prioritization, or unearned confidence.</x:t>
        </x:is>
      </x:c>
      <x:c r="AA229" s="5" t="inlineStr">
        <x:is>
          <x:t xml:space="preserve">strategy templates / board logic / critique loop</x:t>
        </x:is>
      </x:c>
      <x:c r="AB229" s="5" t="inlineStr">
        <x:is>
          <x:t xml:space="preserve"/>
        </x:is>
      </x:c>
      <x:c r="AC229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29" s="5" t="inlineStr">
        <x:is>
          <x:t xml:space="preserve">OpenAI How People Use ChatGPT paper; Menlo State of Consumer AI 2025; Menlo AI UI Problem 2025</x:t>
        </x:is>
      </x:c>
      <x:c r="AE229" s="11">
        <x:f>IF(O229="High",20,IF(O229="Medium",10,IF(O229="Low",5,0)))+IF(P229="High",20,IF(P229="Medium",10,IF(P229="Low",5,0)))+IF(Q229="High",20,IF(Q229="Medium",10,IF(Q229="Low",5,0)))+IF(R229="High",20,IF(R229="Medium",10,IF(R229="Low",5,0)))+IF(S229="High",20,IF(S229="Medium",10,IF(S229="Low",5,0)))</x:f>
        <x:v>50</x:v>
      </x:c>
      <x:c r="AF229" s="12">
        <x:f>ROUND(H229*0.30+J229*0.25+K229*0.20+(100-AE229)*0.10+(100-(V229*20))*0.15,0)</x:f>
        <x:v>56</x:v>
      </x:c>
      <x:c r="AG229" s="13" t="str">
        <x:f>IF(AF229&gt;=80,"Batch 1",IF(AF229&gt;=70,"Batch 2",IF(AF229&gt;=60,"Batch 3","Backlog")))</x:f>
        <x:v>Backlog</x:v>
      </x:c>
      <x:c r="AH229" t="inlineStr">
        <x:is>
          <x:t xml:space="preserve"/>
        </x:is>
      </x:c>
    </x:row>
    <x:row r="230">
      <x:c r="A230" s="5" t="inlineStr">
        <x:is>
          <x:t xml:space="preserve">GPO-CAR-17</x:t>
        </x:is>
      </x:c>
      <x:c r="B230" s="5" t="n">
        <x:v>226</x:v>
      </x:c>
      <x:c r="C230" s="5" t="inlineStr">
        <x:is>
          <x:t xml:space="preserve">Career &amp; Job Search</x:t>
        </x:is>
      </x:c>
      <x:c r="D230" s="5" t="inlineStr">
        <x:is>
          <x:t xml:space="preserve">Advance</x:t>
        </x:is>
      </x:c>
      <x:c r="E230" s="5" t="inlineStr">
        <x:is>
          <x:t xml:space="preserve">Expansion 150</x:t>
        </x:is>
      </x:c>
      <x:c r="F230" s="5" t="n">
        <x:v>17</x:v>
      </x:c>
      <x:c r="G230" s="5" t="inlineStr">
        <x:is>
          <x:t xml:space="preserve">Help me identify the fastest route from my current role to the next role.</x:t>
        </x:is>
      </x:c>
      <x:c r="H230" s="6" t="n">
        <x:v>44</x:v>
      </x:c>
      <x:c r="I230" s="6" t="n">
        <x:v>44</x:v>
      </x:c>
      <x:c r="J230" s="7" t="n">
        <x:v>71</x:v>
      </x:c>
      <x:c r="K230" s="7" t="n">
        <x:v>56</x:v>
      </x:c>
      <x:c r="L230" s="8" t="inlineStr">
        <x:is>
          <x:t xml:space="preserve">UNTESTED</x:t>
        </x:is>
      </x:c>
      <x:c r="M230" s="9" t="inlineStr">
        <x:is>
          <x:t xml:space="preserve">UNTESTED</x:t>
        </x:is>
      </x:c>
      <x:c r="N230" s="5" t="inlineStr">
        <x:is>
          <x:t xml:space="preserve">resume tailoring; interview prep; role mapping; narrative building</x:t>
        </x:is>
      </x:c>
      <x:c r="O230" s="5" t="inlineStr">
        <x:is>
          <x:t xml:space="preserve">Medium</x:t>
        </x:is>
      </x:c>
      <x:c r="P230" s="5" t="inlineStr">
        <x:is>
          <x:t xml:space="preserve">High</x:t>
        </x:is>
      </x:c>
      <x:c r="Q230" s="5" t="inlineStr">
        <x:is>
          <x:t xml:space="preserve">Low</x:t>
        </x:is>
      </x:c>
      <x:c r="R230" s="5" t="inlineStr">
        <x:is>
          <x:t xml:space="preserve">Low</x:t>
        </x:is>
      </x:c>
      <x:c r="S230" s="5" t="inlineStr">
        <x:is>
          <x:t xml:space="preserve">Low</x:t>
        </x:is>
      </x:c>
      <x:c r="T230" s="5" t="inlineStr">
        <x:is>
          <x:t xml:space="preserve">ChatGPT primary</x:t>
        </x:is>
      </x:c>
      <x:c r="U230" s="5" t="inlineStr">
        <x:is>
          <x:t xml:space="preserve">Easy</x:t>
        </x:is>
      </x:c>
      <x:c r="V230" s="10" t="n">
        <x:v>1</x:v>
      </x:c>
      <x:c r="W230" s="5" t="inlineStr">
        <x:is>
          <x:t xml:space="preserve">Artifact review + mock interview + targeting review</x:t>
        </x:is>
      </x:c>
      <x:c r="X230" s="5" t="inlineStr">
        <x:is>
          <x:t xml:space="preserve">resume / prep plan / outreach / strategy memo</x:t>
        </x:is>
      </x:c>
      <x:c r="Y230" s="5" t="inlineStr">
        <x:is>
          <x:t xml:space="preserve">Career outputs are specific, credible, and materially improve positioning.</x:t>
        </x:is>
      </x:c>
      <x:c r="Z230" s="5" t="inlineStr">
        <x:is>
          <x:t xml:space="preserve">Generic resume language, fake-sounding stories, or weak role fit.</x:t>
        </x:is>
      </x:c>
      <x:c r="AA230" s="5" t="inlineStr">
        <x:is>
          <x:t xml:space="preserve">career templates / memory / ATS-aware output logic</x:t>
        </x:is>
      </x:c>
      <x:c r="AB230" s="5" t="inlineStr">
        <x:is>
          <x:t xml:space="preserve"/>
        </x:is>
      </x:c>
      <x:c r="AC230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30" s="5" t="inlineStr">
        <x:is>
          <x:t xml:space="preserve">Insight Global AI in Hiring Report 2025; NACE student survey 2025/2026</x:t>
        </x:is>
      </x:c>
      <x:c r="AE230" s="11">
        <x:f>IF(O230="High",20,IF(O230="Medium",10,IF(O230="Low",5,0)))+IF(P230="High",20,IF(P230="Medium",10,IF(P230="Low",5,0)))+IF(Q230="High",20,IF(Q230="Medium",10,IF(Q230="Low",5,0)))+IF(R230="High",20,IF(R230="Medium",10,IF(R230="Low",5,0)))+IF(S230="High",20,IF(S230="Medium",10,IF(S230="Low",5,0)))</x:f>
        <x:v>45</x:v>
      </x:c>
      <x:c r="AF230" s="12">
        <x:f>ROUND(H230*0.30+J230*0.25+K230*0.20+(100-AE230)*0.10+(100-(V230*20))*0.15,0)</x:f>
        <x:v>60</x:v>
      </x:c>
      <x:c r="AG230" s="13" t="str">
        <x:f>IF(AF230&gt;=80,"Batch 1",IF(AF230&gt;=70,"Batch 2",IF(AF230&gt;=60,"Batch 3","Backlog")))</x:f>
        <x:v>Batch 3</x:v>
      </x:c>
      <x:c r="AH230" t="inlineStr">
        <x:is>
          <x:t xml:space="preserve"/>
        </x:is>
      </x:c>
    </x:row>
    <x:row r="231">
      <x:c r="A231" s="5" t="inlineStr">
        <x:is>
          <x:t xml:space="preserve">GPO-HOM-05</x:t>
        </x:is>
      </x:c>
      <x:c r="B231" s="5" t="n">
        <x:v>227</x:v>
      </x:c>
      <x:c r="C231" s="5" t="inlineStr">
        <x:is>
          <x:t xml:space="preserve">Home &amp; Lifestyle Design</x:t>
        </x:is>
      </x:c>
      <x:c r="D231" s="5" t="inlineStr">
        <x:is>
          <x:t xml:space="preserve">Design</x:t>
        </x:is>
      </x:c>
      <x:c r="E231" s="5" t="inlineStr">
        <x:is>
          <x:t xml:space="preserve">Core 150</x:t>
        </x:is>
      </x:c>
      <x:c r="F231" s="5" t="n">
        <x:v>5</x:v>
      </x:c>
      <x:c r="G231" s="5" t="inlineStr">
        <x:is>
          <x:t xml:space="preserve">Help me compare floor plans/layouts for livability, privacy, and resale value.</x:t>
        </x:is>
      </x:c>
      <x:c r="H231" s="6" t="n">
        <x:v>44</x:v>
      </x:c>
      <x:c r="I231" s="6" t="n">
        <x:v>44</x:v>
      </x:c>
      <x:c r="J231" s="7" t="n">
        <x:v>71</x:v>
      </x:c>
      <x:c r="K231" s="7" t="n">
        <x:v>56</x:v>
      </x:c>
      <x:c r="L231" s="8" t="inlineStr">
        <x:is>
          <x:t xml:space="preserve">UNTESTED</x:t>
        </x:is>
      </x:c>
      <x:c r="M231" s="9" t="inlineStr">
        <x:is>
          <x:t xml:space="preserve">UNTESTED</x:t>
        </x:is>
      </x:c>
      <x:c r="N231" s="5" t="inlineStr">
        <x:is>
          <x:t xml:space="preserve">space planning; product curation; aesthetic reasoning; phased project planning</x:t>
        </x:is>
      </x:c>
      <x:c r="O231" s="5" t="inlineStr">
        <x:is>
          <x:t xml:space="preserve">Medium</x:t>
        </x:is>
      </x:c>
      <x:c r="P231" s="5" t="inlineStr">
        <x:is>
          <x:t xml:space="preserve">High</x:t>
        </x:is>
      </x:c>
      <x:c r="Q231" s="5" t="inlineStr">
        <x:is>
          <x:t xml:space="preserve">Medium</x:t>
        </x:is>
      </x:c>
      <x:c r="R231" s="5" t="inlineStr">
        <x:is>
          <x:t xml:space="preserve">Low</x:t>
        </x:is>
      </x:c>
      <x:c r="S231" s="5" t="inlineStr">
        <x:is>
          <x:t xml:space="preserve">Low</x:t>
        </x:is>
      </x:c>
      <x:c r="T231" s="5" t="inlineStr">
        <x:is>
          <x:t xml:space="preserve">ChatGPT with web; image/design tools later</x:t>
        </x:is>
      </x:c>
      <x:c r="U231" s="5" t="inlineStr">
        <x:is>
          <x:t xml:space="preserve">Easy</x:t>
        </x:is>
      </x:c>
      <x:c r="V231" s="10" t="n">
        <x:v>1</x:v>
      </x:c>
      <x:c r="W231" s="5" t="inlineStr">
        <x:is>
          <x:t xml:space="preserve">Design brief generation + feasibility review</x:t>
        </x:is>
      </x:c>
      <x:c r="X231" s="5" t="inlineStr">
        <x:is>
          <x:t xml:space="preserve">layout / shopping plan / phased upgrade roadmap</x:t>
        </x:is>
      </x:c>
      <x:c r="Y231" s="5" t="inlineStr">
        <x:is>
          <x:t xml:space="preserve">Design plan feels cohesive, practical, and matched to lifestyle goals.</x:t>
        </x:is>
      </x:c>
      <x:c r="Z231" s="5" t="inlineStr">
        <x:is>
          <x:t xml:space="preserve">Pretty but impractical suggestions, no budget logic, or weak taste alignment.</x:t>
        </x:is>
      </x:c>
      <x:c r="AA231" s="5" t="inlineStr">
        <x:is>
          <x:t xml:space="preserve">design preference memory / shopping integration / image workflow</x:t>
        </x:is>
      </x:c>
      <x:c r="AB231" s="5" t="inlineStr">
        <x:is>
          <x:t xml:space="preserve"/>
        </x:is>
      </x:c>
      <x:c r="AC231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31" s="5" t="inlineStr">
        <x:is>
          <x:t xml:space="preserve">ThinkLab 2025 design benchmark; Houzz 2025 AI in construction &amp; design; Canadian Contractor/Mattoboard survey 2025</x:t>
        </x:is>
      </x:c>
      <x:c r="AE231" s="11">
        <x:f>IF(O231="High",20,IF(O231="Medium",10,IF(O231="Low",5,0)))+IF(P231="High",20,IF(P231="Medium",10,IF(P231="Low",5,0)))+IF(Q231="High",20,IF(Q231="Medium",10,IF(Q231="Low",5,0)))+IF(R231="High",20,IF(R231="Medium",10,IF(R231="Low",5,0)))+IF(S231="High",20,IF(S231="Medium",10,IF(S231="Low",5,0)))</x:f>
        <x:v>50</x:v>
      </x:c>
      <x:c r="AF231" s="12">
        <x:f>ROUND(H231*0.30+J231*0.25+K231*0.20+(100-AE231)*0.10+(100-(V231*20))*0.15,0)</x:f>
        <x:v>59</x:v>
      </x:c>
      <x:c r="AG231" s="13" t="str">
        <x:f>IF(AF231&gt;=80,"Batch 1",IF(AF231&gt;=70,"Batch 2",IF(AF231&gt;=60,"Batch 3","Backlog")))</x:f>
        <x:v>Backlog</x:v>
      </x:c>
      <x:c r="AH231" t="inlineStr">
        <x:is>
          <x:t xml:space="preserve"/>
        </x:is>
      </x:c>
    </x:row>
    <x:row r="232">
      <x:c r="A232" s="5" t="inlineStr">
        <x:is>
          <x:t xml:space="preserve">GPO-LEA-22</x:t>
        </x:is>
      </x:c>
      <x:c r="B232" s="5" t="n">
        <x:v>228</x:v>
      </x:c>
      <x:c r="C232" s="5" t="inlineStr">
        <x:is>
          <x:t xml:space="preserve">Learning &amp; Tutoring</x:t>
        </x:is>
      </x:c>
      <x:c r="D232" s="5" t="inlineStr">
        <x:is>
          <x:t xml:space="preserve">Grow</x:t>
        </x:is>
      </x:c>
      <x:c r="E232" s="5" t="inlineStr">
        <x:is>
          <x:t xml:space="preserve">Stretch 60</x:t>
        </x:is>
      </x:c>
      <x:c r="F232" s="5" t="n">
        <x:v>22</x:v>
      </x:c>
      <x:c r="G232" s="5" t="inlineStr">
        <x:is>
          <x:t xml:space="preserve">Build a tutor mode that refuses to over-help and instead scaffolds the solution.</x:t>
        </x:is>
      </x:c>
      <x:c r="H232" s="6" t="n">
        <x:v>44</x:v>
      </x:c>
      <x:c r="I232" s="6" t="n">
        <x:v>44</x:v>
      </x:c>
      <x:c r="J232" s="7" t="n">
        <x:v>71</x:v>
      </x:c>
      <x:c r="K232" s="7" t="n">
        <x:v>56</x:v>
      </x:c>
      <x:c r="L232" s="8" t="inlineStr">
        <x:is>
          <x:t xml:space="preserve">UNTESTED</x:t>
        </x:is>
      </x:c>
      <x:c r="M232" s="9" t="inlineStr">
        <x:is>
          <x:t xml:space="preserve">UNTESTED</x:t>
        </x:is>
      </x:c>
      <x:c r="N232" s="5" t="inlineStr">
        <x:is>
          <x:t xml:space="preserve">adaptive tutoring; curriculum planning; quiz generation; context retention</x:t>
        </x:is>
      </x:c>
      <x:c r="O232" s="5" t="inlineStr">
        <x:is>
          <x:t xml:space="preserve">Low</x:t>
        </x:is>
      </x:c>
      <x:c r="P232" s="5" t="inlineStr">
        <x:is>
          <x:t xml:space="preserve">High</x:t>
        </x:is>
      </x:c>
      <x:c r="Q232" s="5" t="inlineStr">
        <x:is>
          <x:t xml:space="preserve">Low</x:t>
        </x:is>
      </x:c>
      <x:c r="R232" s="5" t="inlineStr">
        <x:is>
          <x:t xml:space="preserve">Low</x:t>
        </x:is>
      </x:c>
      <x:c r="S232" s="5" t="inlineStr">
        <x:is>
          <x:t xml:space="preserve">Low</x:t>
        </x:is>
      </x:c>
      <x:c r="T232" s="5" t="inlineStr">
        <x:is>
          <x:t xml:space="preserve">ChatGPT primary</x:t>
        </x:is>
      </x:c>
      <x:c r="U232" s="5" t="inlineStr">
        <x:is>
          <x:t xml:space="preserve">Medium</x:t>
        </x:is>
      </x:c>
      <x:c r="V232" s="10" t="n">
        <x:v>2</x:v>
      </x:c>
      <x:c r="W232" s="5" t="inlineStr">
        <x:is>
          <x:t xml:space="preserve">Interactive tutoring session + quality review</x:t>
        </x:is>
      </x:c>
      <x:c r="X232" s="5" t="inlineStr">
        <x:is>
          <x:t xml:space="preserve">lesson / plan / quiz / explanation</x:t>
        </x:is>
      </x:c>
      <x:c r="Y232" s="5" t="inlineStr">
        <x:is>
          <x:t xml:space="preserve">Teaching is accurate, adaptive, and improves understanding rather than over-answering.</x:t>
        </x:is>
      </x:c>
      <x:c r="Z232" s="5" t="inlineStr">
        <x:is>
          <x:t xml:space="preserve">Wrong explanations, over-helping, no adaptation, or generic curriculum.</x:t>
        </x:is>
      </x:c>
      <x:c r="AA232" s="5" t="inlineStr">
        <x:is>
          <x:t xml:space="preserve">tutor mode / memory / scaffolding logic</x:t>
        </x:is>
      </x:c>
      <x:c r="AB232" s="5" t="inlineStr">
        <x:is>
          <x:t xml:space="preserve"/>
        </x:is>
      </x:c>
      <x:c r="AC232" s="5" t="inlineStr">
        <x:is>
          <x:t xml:space="preserve">OpenAI practical guidance includes tutoring; HEPI 2025 says 88% of students use GenAI for assessments, often to explain concepts and summarize articles.</x:t>
        </x:is>
      </x:c>
      <x:c r="AD232" s="5" t="inlineStr">
        <x:is>
          <x:t xml:space="preserve">OpenAI How People Use ChatGPT paper; HEPI Student Generative AI Survey 2025; Brookings 2026 tutoring article</x:t>
        </x:is>
      </x:c>
      <x:c r="AE232" s="11">
        <x:f>IF(O232="High",20,IF(O232="Medium",10,IF(O232="Low",5,0)))+IF(P232="High",20,IF(P232="Medium",10,IF(P232="Low",5,0)))+IF(Q232="High",20,IF(Q232="Medium",10,IF(Q232="Low",5,0)))+IF(R232="High",20,IF(R232="Medium",10,IF(R232="Low",5,0)))+IF(S232="High",20,IF(S232="Medium",10,IF(S232="Low",5,0)))</x:f>
        <x:v>40</x:v>
      </x:c>
      <x:c r="AF232" s="12">
        <x:f>ROUND(H232*0.30+J232*0.25+K232*0.20+(100-AE232)*0.10+(100-(V232*20))*0.15,0)</x:f>
        <x:v>57</x:v>
      </x:c>
      <x:c r="AG232" s="13" t="str">
        <x:f>IF(AF232&gt;=80,"Batch 1",IF(AF232&gt;=70,"Batch 2",IF(AF232&gt;=60,"Batch 3","Backlog")))</x:f>
        <x:v>Backlog</x:v>
      </x:c>
      <x:c r="AH232" t="inlineStr">
        <x:is>
          <x:t xml:space="preserve"/>
        </x:is>
      </x:c>
    </x:row>
    <x:row r="233">
      <x:c r="A233" s="5" t="inlineStr">
        <x:is>
          <x:t xml:space="preserve">GPO-WRI-23</x:t>
        </x:is>
      </x:c>
      <x:c r="B233" s="5" t="n">
        <x:v>229</x:v>
      </x:c>
      <x:c r="C233" s="5" t="inlineStr">
        <x:is>
          <x:t xml:space="preserve">Writing &amp; Documentation</x:t>
        </x:is>
      </x:c>
      <x:c r="D233" s="5" t="inlineStr">
        <x:is>
          <x:t xml:space="preserve">Create</x:t>
        </x:is>
      </x:c>
      <x:c r="E233" s="5" t="inlineStr">
        <x:is>
          <x:t xml:space="preserve">Stretch 60</x:t>
        </x:is>
      </x:c>
      <x:c r="F233" s="5" t="n">
        <x:v>23</x:v>
      </x:c>
      <x:c r="G233" s="5" t="inlineStr">
        <x:is>
          <x:t xml:space="preserve">Rewrite a dense technical explanation so it works for executive, operator, and end-user versions.</x:t>
        </x:is>
      </x:c>
      <x:c r="H233" s="6" t="n">
        <x:v>43</x:v>
      </x:c>
      <x:c r="I233" s="6" t="n">
        <x:v>43</x:v>
      </x:c>
      <x:c r="J233" s="7" t="n">
        <x:v>72</x:v>
      </x:c>
      <x:c r="K233" s="7" t="n">
        <x:v>56</x:v>
      </x:c>
      <x:c r="L233" s="8" t="inlineStr">
        <x:is>
          <x:t xml:space="preserve">UNTESTED</x:t>
        </x:is>
      </x:c>
      <x:c r="M233" s="9" t="inlineStr">
        <x:is>
          <x:t xml:space="preserve">UNTESTED</x:t>
        </x:is>
      </x:c>
      <x:c r="N233" s="5" t="inlineStr">
        <x:is>
          <x:t xml:space="preserve">writing quality; summarization; style control; structured artifacts</x:t>
        </x:is>
      </x:c>
      <x:c r="O233" s="5" t="inlineStr">
        <x:is>
          <x:t xml:space="preserve">Low</x:t>
        </x:is>
      </x:c>
      <x:c r="P233" s="5" t="inlineStr">
        <x:is>
          <x:t xml:space="preserve">Medium</x:t>
        </x:is>
      </x:c>
      <x:c r="Q233" s="5" t="inlineStr">
        <x:is>
          <x:t xml:space="preserve">Low</x:t>
        </x:is>
      </x:c>
      <x:c r="R233" s="5" t="inlineStr">
        <x:is>
          <x:t xml:space="preserve">Low</x:t>
        </x:is>
      </x:c>
      <x:c r="S233" s="5" t="inlineStr">
        <x:is>
          <x:t xml:space="preserve">Low</x:t>
        </x:is>
      </x:c>
      <x:c r="T233" s="5" t="inlineStr">
        <x:is>
          <x:t xml:space="preserve">ChatGPT or Claude; human review optional</x:t>
        </x:is>
      </x:c>
      <x:c r="U233" s="5" t="inlineStr">
        <x:is>
          <x:t xml:space="preserve">Medium</x:t>
        </x:is>
      </x:c>
      <x:c r="V233" s="10" t="n">
        <x:v>2</x:v>
      </x:c>
      <x:c r="W233" s="5" t="inlineStr">
        <x:is>
          <x:t xml:space="preserve">Prompt execution + artifact quality review</x:t>
        </x:is>
      </x:c>
      <x:c r="X233" s="5" t="inlineStr">
        <x:is>
          <x:t xml:space="preserve">doc / memo / email / FAQ / summary</x:t>
        </x:is>
      </x:c>
      <x:c r="Y233" s="5" t="inlineStr">
        <x:is>
          <x:t xml:space="preserve">Output is clear, tailored, structurally sound, and immediately usable.</x:t>
        </x:is>
      </x:c>
      <x:c r="Z233" s="5" t="inlineStr">
        <x:is>
          <x:t xml:space="preserve">Generic tone, missing context, weak structure, or wrong audience level.</x:t>
        </x:is>
      </x:c>
      <x:c r="AA233" s="5" t="inlineStr">
        <x:is>
          <x:t xml:space="preserve">prompt pack / style guidance / output schema</x:t>
        </x:is>
      </x:c>
      <x:c r="AB233" s="5" t="inlineStr">
        <x:is>
          <x:t xml:space="preserve"/>
        </x:is>
      </x:c>
      <x:c r="AC233" s="5" t="inlineStr">
        <x:is>
          <x:t xml:space="preserve">OpenAI usage paper: Writing is in top 3 categories; Menlo consumer AI says 19% use AI to write emails and 18% get writing support.</x:t>
        </x:is>
      </x:c>
      <x:c r="AD233" s="5" t="inlineStr">
        <x:is>
          <x:t xml:space="preserve">OpenAI How People Use ChatGPT paper; Menlo State of Consumer AI 2025</x:t>
        </x:is>
      </x:c>
      <x:c r="AE233" s="11">
        <x:f>IF(O233="High",20,IF(O233="Medium",10,IF(O233="Low",5,0)))+IF(P233="High",20,IF(P233="Medium",10,IF(P233="Low",5,0)))+IF(Q233="High",20,IF(Q233="Medium",10,IF(Q233="Low",5,0)))+IF(R233="High",20,IF(R233="Medium",10,IF(R233="Low",5,0)))+IF(S233="High",20,IF(S233="Medium",10,IF(S233="Low",5,0)))</x:f>
        <x:v>30</x:v>
      </x:c>
      <x:c r="AF233" s="12">
        <x:f>ROUND(H233*0.30+J233*0.25+K233*0.20+(100-AE233)*0.10+(100-(V233*20))*0.15,0)</x:f>
        <x:v>58</x:v>
      </x:c>
      <x:c r="AG233" s="13" t="str">
        <x:f>IF(AF233&gt;=80,"Batch 1",IF(AF233&gt;=70,"Batch 2",IF(AF233&gt;=60,"Batch 3","Backlog")))</x:f>
        <x:v>Backlog</x:v>
      </x:c>
      <x:c r="AH233" t="inlineStr">
        <x:is>
          <x:t xml:space="preserve"/>
        </x:is>
      </x:c>
    </x:row>
    <x:row r="234">
      <x:c r="A234" s="5" t="inlineStr">
        <x:is>
          <x:t xml:space="preserve">GPO-RES-22</x:t>
        </x:is>
      </x:c>
      <x:c r="B234" s="5" t="n">
        <x:v>230</x:v>
      </x:c>
      <x:c r="C234" s="5" t="inlineStr">
        <x:is>
          <x:t xml:space="preserve">Research &amp; Analysis</x:t>
        </x:is>
      </x:c>
      <x:c r="D234" s="5" t="inlineStr">
        <x:is>
          <x:t xml:space="preserve">Think</x:t>
        </x:is>
      </x:c>
      <x:c r="E234" s="5" t="inlineStr">
        <x:is>
          <x:t xml:space="preserve">Stretch 60</x:t>
        </x:is>
      </x:c>
      <x:c r="F234" s="5" t="n">
        <x:v>22</x:v>
      </x:c>
      <x:c r="G234" s="5" t="inlineStr">
        <x:is>
          <x:t xml:space="preserve">Build a red-team memo that attacks the assumptions behind this product decision.</x:t>
        </x:is>
      </x:c>
      <x:c r="H234" s="6" t="n">
        <x:v>45</x:v>
      </x:c>
      <x:c r="I234" s="6" t="n">
        <x:v>45</x:v>
      </x:c>
      <x:c r="J234" s="7" t="n">
        <x:v>69</x:v>
      </x:c>
      <x:c r="K234" s="7" t="n">
        <x:v>56</x:v>
      </x:c>
      <x:c r="L234" s="8" t="inlineStr">
        <x:is>
          <x:t xml:space="preserve">UNTESTED</x:t>
        </x:is>
      </x:c>
      <x:c r="M234" s="9" t="inlineStr">
        <x:is>
          <x:t xml:space="preserve">UNTESTED</x:t>
        </x:is>
      </x:c>
      <x:c r="N234" s="5" t="inlineStr">
        <x:is>
          <x:t xml:space="preserve">web research; synthesis; citation discipline; decision framing</x:t>
        </x:is>
      </x:c>
      <x:c r="O234" s="5" t="inlineStr">
        <x:is>
          <x:t xml:space="preserve">High</x:t>
        </x:is>
      </x:c>
      <x:c r="P234" s="5" t="inlineStr">
        <x:is>
          <x:t xml:space="preserve">Medium</x:t>
        </x:is>
      </x:c>
      <x:c r="Q234" s="5" t="inlineStr">
        <x:is>
          <x:t xml:space="preserve">Medium</x:t>
        </x:is>
      </x:c>
      <x:c r="R234" s="5" t="inlineStr">
        <x:is>
          <x:t xml:space="preserve">Medium</x:t>
        </x:is>
      </x:c>
      <x:c r="S234" s="5" t="inlineStr">
        <x:is>
          <x:t xml:space="preserve">Low</x:t>
        </x:is>
      </x:c>
      <x:c r="T234" s="5" t="inlineStr">
        <x:is>
          <x:t xml:space="preserve">ChatGPT with web; Claude for synthesis</x:t>
        </x:is>
      </x:c>
      <x:c r="U234" s="5" t="inlineStr">
        <x:is>
          <x:t xml:space="preserve">Hard</x:t>
        </x:is>
      </x:c>
      <x:c r="V234" s="10" t="n">
        <x:v>3</x:v>
      </x:c>
      <x:c r="W234" s="5" t="inlineStr">
        <x:is>
          <x:t xml:space="preserve">Live research + source validation + recommendation review</x:t>
        </x:is>
      </x:c>
      <x:c r="X234" s="5" t="inlineStr">
        <x:is>
          <x:t xml:space="preserve">brief / comparison / decision memo / risk analysis</x:t>
        </x:is>
      </x:c>
      <x:c r="Y234" s="5" t="inlineStr">
        <x:is>
          <x:t xml:space="preserve">Accurate synthesis with evidence, tradeoffs, and a concrete recommendation.</x:t>
        </x:is>
      </x:c>
      <x:c r="Z234" s="5" t="inlineStr">
        <x:is>
          <x:t xml:space="preserve">Stale facts, no citations, weak reasoning, or surface-level synthesis.</x:t>
        </x:is>
      </x:c>
      <x:c r="AA234" s="5" t="inlineStr">
        <x:is>
          <x:t xml:space="preserve">web integration / citation enforcement / analysis rubric</x:t>
        </x:is>
      </x:c>
      <x:c r="AB234" s="5" t="inlineStr">
        <x:is>
          <x:t xml:space="preserve"/>
        </x:is>
      </x:c>
      <x:c r="AC234" s="5" t="inlineStr">
        <x:is>
          <x:t xml:space="preserve">OpenAI usage paper: Seeking Information is in top 3 categories; work/advice/search are common across Deloitte and OpenAI.</x:t>
        </x:is>
      </x:c>
      <x:c r="AD234" s="5" t="inlineStr">
        <x:is>
          <x:t xml:space="preserve">OpenAI How People Use ChatGPT paper; Deloitte Connected Consumer 2025</x:t>
        </x:is>
      </x:c>
      <x:c r="AE234" s="11">
        <x:f>IF(O234="High",20,IF(O234="Medium",10,IF(O234="Low",5,0)))+IF(P234="High",20,IF(P234="Medium",10,IF(P234="Low",5,0)))+IF(Q234="High",20,IF(Q234="Medium",10,IF(Q234="Low",5,0)))+IF(R234="High",20,IF(R234="Medium",10,IF(R234="Low",5,0)))+IF(S234="High",20,IF(S234="Medium",10,IF(S234="Low",5,0)))</x:f>
        <x:v>55</x:v>
      </x:c>
      <x:c r="AF234" s="12">
        <x:f>ROUND(H234*0.30+J234*0.25+K234*0.20+(100-AE234)*0.10+(100-(V234*20))*0.15,0)</x:f>
        <x:v>52</x:v>
      </x:c>
      <x:c r="AG234" s="13" t="str">
        <x:f>IF(AF234&gt;=80,"Batch 1",IF(AF234&gt;=70,"Batch 2",IF(AF234&gt;=60,"Batch 3","Backlog")))</x:f>
        <x:v>Backlog</x:v>
      </x:c>
      <x:c r="AH234" t="inlineStr">
        <x:is>
          <x:t xml:space="preserve"/>
        </x:is>
      </x:c>
    </x:row>
    <x:row r="235">
      <x:c r="A235" s="5" t="inlineStr">
        <x:is>
          <x:t xml:space="preserve">GPO-TRA-19</x:t>
        </x:is>
      </x:c>
      <x:c r="B235" s="5" t="n">
        <x:v>231</x:v>
      </x:c>
      <x:c r="C235" s="5" t="inlineStr">
        <x:is>
          <x:t xml:space="preserve">Travel &amp; Relocation Planner</x:t>
        </x:is>
      </x:c>
      <x:c r="D235" s="5" t="inlineStr">
        <x:is>
          <x:t xml:space="preserve">Move</x:t>
        </x:is>
      </x:c>
      <x:c r="E235" s="5" t="inlineStr">
        <x:is>
          <x:t xml:space="preserve">Expansion 150</x:t>
        </x:is>
      </x:c>
      <x:c r="F235" s="5" t="n">
        <x:v>19</x:v>
      </x:c>
      <x:c r="G235" s="5" t="inlineStr">
        <x:is>
          <x:t xml:space="preserve">Help me choose a hotel/Airbnb/neighborhood that is actually well located.</x:t>
        </x:is>
      </x:c>
      <x:c r="H235" s="6" t="n">
        <x:v>45</x:v>
      </x:c>
      <x:c r="I235" s="6" t="n">
        <x:v>45</x:v>
      </x:c>
      <x:c r="J235" s="7" t="n">
        <x:v>69</x:v>
      </x:c>
      <x:c r="K235" s="7" t="n">
        <x:v>56</x:v>
      </x:c>
      <x:c r="L235" s="8" t="inlineStr">
        <x:is>
          <x:t xml:space="preserve">UNTESTED</x:t>
        </x:is>
      </x:c>
      <x:c r="M235" s="9" t="inlineStr">
        <x:is>
          <x:t xml:space="preserve">UNTESTED</x:t>
        </x:is>
      </x:c>
      <x:c r="N235" s="5" t="inlineStr">
        <x:is>
          <x:t xml:space="preserve">travel research; itinerary planning; logistics reasoning; contingency planning</x:t>
        </x:is>
      </x:c>
      <x:c r="O235" s="5" t="inlineStr">
        <x:is>
          <x:t xml:space="preserve">High</x:t>
        </x:is>
      </x:c>
      <x:c r="P235" s="5" t="inlineStr">
        <x:is>
          <x:t xml:space="preserve">Medium</x:t>
        </x:is>
      </x:c>
      <x:c r="Q235" s="5" t="inlineStr">
        <x:is>
          <x:t xml:space="preserve">Medium</x:t>
        </x:is>
      </x:c>
      <x:c r="R235" s="5" t="inlineStr">
        <x:is>
          <x:t xml:space="preserve">Low</x:t>
        </x:is>
      </x:c>
      <x:c r="S235" s="5" t="inlineStr">
        <x:is>
          <x:t xml:space="preserve">Low</x:t>
        </x:is>
      </x:c>
      <x:c r="T235" s="5" t="inlineStr">
        <x:is>
          <x:t xml:space="preserve">ChatGPT with web; maps/calendar later</x:t>
        </x:is>
      </x:c>
      <x:c r="U235" s="5" t="inlineStr">
        <x:is>
          <x:t xml:space="preserve">Medium</x:t>
        </x:is>
      </x:c>
      <x:c r="V235" s="10" t="n">
        <x:v>2</x:v>
      </x:c>
      <x:c r="W235" s="5" t="inlineStr">
        <x:is>
          <x:t xml:space="preserve">Live trip planning + feasibility review</x:t>
        </x:is>
      </x:c>
      <x:c r="X235" s="5" t="inlineStr">
        <x:is>
          <x:t xml:space="preserve">itinerary / relocation plan / checklist</x:t>
        </x:is>
      </x:c>
      <x:c r="Y235" s="5" t="inlineStr">
        <x:is>
          <x:t xml:space="preserve">Plan is current, geographically sensible, and tuned to budget/constraints.</x:t>
        </x:is>
      </x:c>
      <x:c r="Z235" s="5" t="inlineStr">
        <x:is>
          <x:t xml:space="preserve">Bad logistics, stale info, wrong timing, or generic travel advice.</x:t>
        </x:is>
      </x:c>
      <x:c r="AA235" s="5" t="inlineStr">
        <x:is>
          <x:t xml:space="preserve">travel templates / web + mapping integration / logistics engine</x:t>
        </x:is>
      </x:c>
      <x:c r="AB235" s="5" t="inlineStr">
        <x:is>
          <x:t xml:space="preserve"/>
        </x:is>
      </x:c>
      <x:c r="AC235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35" s="5" t="inlineStr">
        <x:is>
          <x:t xml:space="preserve">Deloitte Connected Consumer 2025; Adobe travel planning 2025</x:t>
        </x:is>
      </x:c>
      <x:c r="AE235" s="11">
        <x:f>IF(O235="High",20,IF(O235="Medium",10,IF(O235="Low",5,0)))+IF(P235="High",20,IF(P235="Medium",10,IF(P235="Low",5,0)))+IF(Q235="High",20,IF(Q235="Medium",10,IF(Q235="Low",5,0)))+IF(R235="High",20,IF(R235="Medium",10,IF(R235="Low",5,0)))+IF(S235="High",20,IF(S235="Medium",10,IF(S235="Low",5,0)))</x:f>
        <x:v>50</x:v>
      </x:c>
      <x:c r="AF235" s="12">
        <x:f>ROUND(H235*0.30+J235*0.25+K235*0.20+(100-AE235)*0.10+(100-(V235*20))*0.15,0)</x:f>
        <x:v>56</x:v>
      </x:c>
      <x:c r="AG235" s="13" t="str">
        <x:f>IF(AF235&gt;=80,"Batch 1",IF(AF235&gt;=70,"Batch 2",IF(AF235&gt;=60,"Batch 3","Backlog")))</x:f>
        <x:v>Backlog</x:v>
      </x:c>
      <x:c r="AH235" t="inlineStr">
        <x:is>
          <x:t xml:space="preserve"/>
        </x:is>
      </x:c>
    </x:row>
    <x:row r="236">
      <x:c r="A236" s="5" t="inlineStr">
        <x:is>
          <x:t xml:space="preserve">GPO-COD-23</x:t>
        </x:is>
      </x:c>
      <x:c r="B236" s="5" t="n">
        <x:v>232</x:v>
      </x:c>
      <x:c r="C236" s="5" t="inlineStr">
        <x:is>
          <x:t xml:space="preserve">Code &amp; Product Engineering</x:t>
        </x:is>
      </x:c>
      <x:c r="D236" s="5" t="inlineStr">
        <x:is>
          <x:t xml:space="preserve">Build</x:t>
        </x:is>
      </x:c>
      <x:c r="E236" s="5" t="inlineStr">
        <x:is>
          <x:t xml:space="preserve">Stretch 60</x:t>
        </x:is>
      </x:c>
      <x:c r="F236" s="5" t="n">
        <x:v>23</x:v>
      </x:c>
      <x:c r="G236" s="5" t="inlineStr">
        <x:is>
          <x:t xml:space="preserve">Instrument the product so every failed test case can be traced to route, tool, prompt, and provider.</x:t>
        </x:is>
      </x:c>
      <x:c r="H236" s="6" t="n">
        <x:v>44</x:v>
      </x:c>
      <x:c r="I236" s="6" t="n">
        <x:v>44</x:v>
      </x:c>
      <x:c r="J236" s="7" t="n">
        <x:v>70</x:v>
      </x:c>
      <x:c r="K236" s="7" t="n">
        <x:v>56</x:v>
      </x:c>
      <x:c r="L236" s="8" t="inlineStr">
        <x:is>
          <x:t xml:space="preserve">UNTESTED</x:t>
        </x:is>
      </x:c>
      <x:c r="M236" s="9" t="inlineStr">
        <x:is>
          <x:t xml:space="preserve">UNTESTED</x:t>
        </x:is>
      </x:c>
      <x:c r="N236" s="5" t="inlineStr">
        <x:is>
          <x:t xml:space="preserve">routing; code reasoning; repo context; file edit; test execution; structured output</x:t>
        </x:is>
      </x:c>
      <x:c r="O236" s="5" t="inlineStr">
        <x:is>
          <x:t xml:space="preserve">No</x:t>
        </x:is>
      </x:c>
      <x:c r="P236" s="5" t="inlineStr">
        <x:is>
          <x:t xml:space="preserve">Medium</x:t>
        </x:is>
      </x:c>
      <x:c r="Q236" s="5" t="inlineStr">
        <x:is>
          <x:t xml:space="preserve">High</x:t>
        </x:is>
      </x:c>
      <x:c r="R236" s="5" t="inlineStr">
        <x:is>
          <x:t xml:space="preserve">Medium</x:t>
        </x:is>
      </x:c>
      <x:c r="S236" s="5" t="inlineStr">
        <x:is>
          <x:t xml:space="preserve">Low</x:t>
        </x:is>
      </x:c>
      <x:c r="T236" s="5" t="inlineStr">
        <x:is>
          <x:t xml:space="preserve">Claude Code primary; ChatGPT critique; web optional</x:t>
        </x:is>
      </x:c>
      <x:c r="U236" s="5" t="inlineStr">
        <x:is>
          <x:t xml:space="preserve">Hard</x:t>
        </x:is>
      </x:c>
      <x:c r="V236" s="10" t="n">
        <x:v>3</x:v>
      </x:c>
      <x:c r="W236" s="5" t="inlineStr">
        <x:is>
          <x:t xml:space="preserve">Live execution + code diff + output review</x:t>
        </x:is>
      </x:c>
      <x:c r="X236" s="5" t="inlineStr">
        <x:is>
          <x:t xml:space="preserve">code patch / spec / architecture / debug report</x:t>
        </x:is>
      </x:c>
      <x:c r="Y236" s="5" t="inlineStr">
        <x:is>
          <x:t xml:space="preserve">Produces correct technical plan or working code without breaking current behavior.</x:t>
        </x:is>
      </x:c>
      <x:c r="Z236" s="5" t="inlineStr">
        <x:is>
          <x:t xml:space="preserve">Hallucinated codebase facts, unsafe refactor, broken tests, or vague technical output.</x:t>
        </x:is>
      </x:c>
      <x:c r="AA236" s="5" t="inlineStr">
        <x:is>
          <x:t xml:space="preserve">routing / tool wiring / repo context / codegen guardrails</x:t>
        </x:is>
      </x:c>
      <x:c r="AB236" s="5" t="inlineStr">
        <x:is>
          <x:t xml:space="preserve"/>
        </x:is>
      </x:c>
      <x:c r="AC236" s="5" t="inlineStr">
        <x:is>
          <x:t xml:space="preserve">OpenAI/common use: writing+coding; Menlo enterprise coding is 55% of departmental AI spend; Deloitte top app: work assistance.</x:t>
        </x:is>
      </x:c>
      <x:c r="AD236" s="5" t="inlineStr">
        <x:is>
          <x:t xml:space="preserve">OpenAI GPT-5 / How People Use ChatGPT; Menlo State of GenAI in Enterprise 2025; Deloitte Connected Consumer 2025</x:t>
        </x:is>
      </x:c>
      <x:c r="AE236" s="11">
        <x:f>IF(O236="High",20,IF(O236="Medium",10,IF(O236="Low",5,0)))+IF(P236="High",20,IF(P236="Medium",10,IF(P236="Low",5,0)))+IF(Q236="High",20,IF(Q236="Medium",10,IF(Q236="Low",5,0)))+IF(R236="High",20,IF(R236="Medium",10,IF(R236="Low",5,0)))+IF(S236="High",20,IF(S236="Medium",10,IF(S236="Low",5,0)))</x:f>
        <x:v>45</x:v>
      </x:c>
      <x:c r="AF236" s="12">
        <x:f>ROUND(H236*0.30+J236*0.25+K236*0.20+(100-AE236)*0.10+(100-(V236*20))*0.15,0)</x:f>
        <x:v>53</x:v>
      </x:c>
      <x:c r="AG236" s="13" t="str">
        <x:f>IF(AF236&gt;=80,"Batch 1",IF(AF236&gt;=70,"Batch 2",IF(AF236&gt;=60,"Batch 3","Backlog")))</x:f>
        <x:v>Backlog</x:v>
      </x:c>
      <x:c r="AH236" t="inlineStr">
        <x:is>
          <x:t xml:space="preserve"/>
        </x:is>
      </x:c>
    </x:row>
    <x:row r="237">
      <x:c r="A237" s="5" t="inlineStr">
        <x:is>
          <x:t xml:space="preserve">GPO-FIL-03</x:t>
        </x:is>
      </x:c>
      <x:c r="B237" s="5" t="n">
        <x:v>233</x:v>
      </x:c>
      <x:c r="C237" s="5" t="inlineStr">
        <x:is>
          <x:t xml:space="preserve">Filmmaking &amp; Video Production</x:t>
        </x:is>
      </x:c>
      <x:c r="D237" s="5" t="inlineStr">
        <x:is>
          <x:t xml:space="preserve">Create</x:t>
        </x:is>
      </x:c>
      <x:c r="E237" s="5" t="inlineStr">
        <x:is>
          <x:t xml:space="preserve">Core 150</x:t>
        </x:is>
      </x:c>
      <x:c r="F237" s="5" t="n">
        <x:v>3</x:v>
      </x:c>
      <x:c r="G237" s="5" t="inlineStr">
        <x:is>
          <x:t xml:space="preserve">Design prompts for generating consistent characters, settings, and moods in video tools.</x:t>
        </x:is>
      </x:c>
      <x:c r="H237" s="6" t="n">
        <x:v>54</x:v>
      </x:c>
      <x:c r="I237" s="6" t="n">
        <x:v>54</x:v>
      </x:c>
      <x:c r="J237" s="7" t="n">
        <x:v>56</x:v>
      </x:c>
      <x:c r="K237" s="7" t="n">
        <x:v>55</x:v>
      </x:c>
      <x:c r="L237" s="8" t="inlineStr">
        <x:is>
          <x:t xml:space="preserve">UNTESTED</x:t>
        </x:is>
      </x:c>
      <x:c r="M237" s="9" t="inlineStr">
        <x:is>
          <x:t xml:space="preserve">UNTESTED</x:t>
        </x:is>
      </x:c>
      <x:c r="N237" s="5" t="inlineStr">
        <x:is>
          <x:t xml:space="preserve">shot planning; multimodal coordination; tool routing; production workflow</x:t>
        </x:is>
      </x:c>
      <x:c r="O237" s="5" t="inlineStr">
        <x:is>
          <x:t xml:space="preserve">Low</x:t>
        </x:is>
      </x:c>
      <x:c r="P237" s="5" t="inlineStr">
        <x:is>
          <x:t xml:space="preserve">Medium</x:t>
        </x:is>
      </x:c>
      <x:c r="Q237" s="5" t="inlineStr">
        <x:is>
          <x:t xml:space="preserve">High</x:t>
        </x:is>
      </x:c>
      <x:c r="R237" s="5" t="inlineStr">
        <x:is>
          <x:t xml:space="preserve">High</x:t>
        </x:is>
      </x:c>
      <x:c r="S237" s="5" t="inlineStr">
        <x:is>
          <x:t xml:space="preserve">Medium</x:t>
        </x:is>
      </x:c>
      <x:c r="T237" s="5" t="inlineStr">
        <x:is>
          <x:t xml:space="preserve">Claude planning + external video/image tools</x:t>
        </x:is>
      </x:c>
      <x:c r="U237" s="5" t="inlineStr">
        <x:is>
          <x:t xml:space="preserve">Hard</x:t>
        </x:is>
      </x:c>
      <x:c r="V237" s="10" t="n">
        <x:v>3</x:v>
      </x:c>
      <x:c r="W237" s="5" t="inlineStr">
        <x:is>
          <x:t xml:space="preserve">Workflow plan + asset chain review</x:t>
        </x:is>
      </x:c>
      <x:c r="X237" s="5" t="inlineStr">
        <x:is>
          <x:t xml:space="preserve">shot list / storyboard / production workflow / tool stack recommendation</x:t>
        </x:is>
      </x:c>
      <x:c r="Y237" s="5" t="inlineStr">
        <x:is>
          <x:t xml:space="preserve">Workflow is executable with current tools and preserves consistency across assets.</x:t>
        </x:is>
      </x:c>
      <x:c r="Z237" s="5" t="inlineStr">
        <x:is>
          <x:t xml:space="preserve">Ignores tool limits, no consistency strategy, or vague production logic.</x:t>
        </x:is>
      </x:c>
      <x:c r="AA237" s="5" t="inlineStr">
        <x:is>
          <x:t xml:space="preserve">multimodal orchestration / provider routing / asset schema</x:t>
        </x:is>
      </x:c>
      <x:c r="AB237" s="5" t="inlineStr">
        <x:is>
          <x:t xml:space="preserve"/>
        </x:is>
      </x:c>
      <x:c r="AC237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37" s="5" t="inlineStr">
        <x:is>
          <x:t xml:space="preserve">Wondercraft/Digiday creator workflow survey 2025; Artificial Analysis generative media survey 2025; Reuters/Canal+ 2026</x:t>
        </x:is>
      </x:c>
      <x:c r="AE237" s="11">
        <x:f>IF(O237="High",20,IF(O237="Medium",10,IF(O237="Low",5,0)))+IF(P237="High",20,IF(P237="Medium",10,IF(P237="Low",5,0)))+IF(Q237="High",20,IF(Q237="Medium",10,IF(Q237="Low",5,0)))+IF(R237="High",20,IF(R237="Medium",10,IF(R237="Low",5,0)))+IF(S237="High",20,IF(S237="Medium",10,IF(S237="Low",5,0)))</x:f>
        <x:v>65</x:v>
      </x:c>
      <x:c r="AF237" s="12">
        <x:f>ROUND(H237*0.30+J237*0.25+K237*0.20+(100-AE237)*0.10+(100-(V237*20))*0.15,0)</x:f>
        <x:v>51</x:v>
      </x:c>
      <x:c r="AG237" s="13" t="str">
        <x:f>IF(AF237&gt;=80,"Batch 1",IF(AF237&gt;=70,"Batch 2",IF(AF237&gt;=60,"Batch 3","Backlog")))</x:f>
        <x:v>Backlog</x:v>
      </x:c>
      <x:c r="AH237" t="inlineStr">
        <x:is>
          <x:t xml:space="preserve"/>
        </x:is>
      </x:c>
    </x:row>
    <x:row r="238">
      <x:c r="A238" s="5" t="inlineStr">
        <x:is>
          <x:t xml:space="preserve">GPO-MUS-04</x:t>
        </x:is>
      </x:c>
      <x:c r="B238" s="5" t="n">
        <x:v>234</x:v>
      </x:c>
      <x:c r="C238" s="5" t="inlineStr">
        <x:is>
          <x:t xml:space="preserve">Music &amp; Audio Creation</x:t>
        </x:is>
      </x:c>
      <x:c r="D238" s="5" t="inlineStr">
        <x:is>
          <x:t xml:space="preserve">Create</x:t>
        </x:is>
      </x:c>
      <x:c r="E238" s="5" t="inlineStr">
        <x:is>
          <x:t xml:space="preserve">Core 150</x:t>
        </x:is>
      </x:c>
      <x:c r="F238" s="5" t="n">
        <x:v>4</x:v>
      </x:c>
      <x:c r="G238" s="5" t="inlineStr">
        <x:is>
          <x:t xml:space="preserve">Help me compose cinematic background music for this scene.</x:t>
        </x:is>
      </x:c>
      <x:c r="H238" s="6" t="n">
        <x:v>49</x:v>
      </x:c>
      <x:c r="I238" s="6" t="n">
        <x:v>49</x:v>
      </x:c>
      <x:c r="J238" s="7" t="n">
        <x:v>63</x:v>
      </x:c>
      <x:c r="K238" s="7" t="n">
        <x:v>55</x:v>
      </x:c>
      <x:c r="L238" s="8" t="inlineStr">
        <x:is>
          <x:t xml:space="preserve">UNTESTED</x:t>
        </x:is>
      </x:c>
      <x:c r="M238" s="9" t="inlineStr">
        <x:is>
          <x:t xml:space="preserve">UNTESTED</x:t>
        </x:is>
      </x:c>
      <x:c r="N238" s="5" t="inlineStr">
        <x:is>
          <x:t xml:space="preserve">theory help; composition support; practice coaching; audio workflow planning</x:t>
        </x:is>
      </x:c>
      <x:c r="O238" s="5" t="inlineStr">
        <x:is>
          <x:t xml:space="preserve">Low</x:t>
        </x:is>
      </x:c>
      <x:c r="P238" s="5" t="inlineStr">
        <x:is>
          <x:t xml:space="preserve">Medium</x:t>
        </x:is>
      </x:c>
      <x:c r="Q238" s="5" t="inlineStr">
        <x:is>
          <x:t xml:space="preserve">Medium</x:t>
        </x:is>
      </x:c>
      <x:c r="R238" s="5" t="inlineStr">
        <x:is>
          <x:t xml:space="preserve">Low</x:t>
        </x:is>
      </x:c>
      <x:c r="S238" s="5" t="inlineStr">
        <x:is>
          <x:t xml:space="preserve">Medium</x:t>
        </x:is>
      </x:c>
      <x:c r="T238" s="5" t="inlineStr">
        <x:is>
          <x:t xml:space="preserve">ChatGPT/Claude planning + external music tools</x:t>
        </x:is>
      </x:c>
      <x:c r="U238" s="5" t="inlineStr">
        <x:is>
          <x:t xml:space="preserve">Medium</x:t>
        </x:is>
      </x:c>
      <x:c r="V238" s="10" t="n">
        <x:v>2</x:v>
      </x:c>
      <x:c r="W238" s="5" t="inlineStr">
        <x:is>
          <x:t xml:space="preserve">Creative coaching + workflow review</x:t>
        </x:is>
      </x:c>
      <x:c r="X238" s="5" t="inlineStr">
        <x:is>
          <x:t xml:space="preserve">practice plan / composition guide / arrangement brief</x:t>
        </x:is>
      </x:c>
      <x:c r="Y238" s="5" t="inlineStr">
        <x:is>
          <x:t xml:space="preserve">Output helps create or learn music in a concrete, musically coherent way.</x:t>
        </x:is>
      </x:c>
      <x:c r="Z238" s="5" t="inlineStr">
        <x:is>
          <x:t xml:space="preserve">Musically weak suggestions, generic advice, or no usable next step.</x:t>
        </x:is>
      </x:c>
      <x:c r="AA238" s="5" t="inlineStr">
        <x:is>
          <x:t xml:space="preserve">music mode / external tool routing / structured lesson outputs</x:t>
        </x:is>
      </x:c>
      <x:c r="AB238" s="5" t="inlineStr">
        <x:is>
          <x:t xml:space="preserve"/>
        </x:is>
      </x:c>
      <x:c r="AC238" s="5" t="inlineStr">
        <x:is>
          <x:t xml:space="preserve">Music-maker surveys show strong AI usage in parts of workflow, but full-song generation is less appealing; consumer trust remains mixed.</x:t>
        </x:is>
      </x:c>
      <x:c r="AD238" s="5" t="inlineStr">
        <x:is>
          <x:t xml:space="preserve">LANDR study 2025; PRS for Music 2026; Bain media survey 2025</x:t>
        </x:is>
      </x:c>
      <x:c r="AE238" s="11">
        <x:f>IF(O238="High",20,IF(O238="Medium",10,IF(O238="Low",5,0)))+IF(P238="High",20,IF(P238="Medium",10,IF(P238="Low",5,0)))+IF(Q238="High",20,IF(Q238="Medium",10,IF(Q238="Low",5,0)))+IF(R238="High",20,IF(R238="Medium",10,IF(R238="Low",5,0)))+IF(S238="High",20,IF(S238="Medium",10,IF(S238="Low",5,0)))</x:f>
        <x:v>40</x:v>
      </x:c>
      <x:c r="AF238" s="12">
        <x:f>ROUND(H238*0.30+J238*0.25+K238*0.20+(100-AE238)*0.10+(100-(V238*20))*0.15,0)</x:f>
        <x:v>56</x:v>
      </x:c>
      <x:c r="AG238" s="13" t="str">
        <x:f>IF(AF238&gt;=80,"Batch 1",IF(AF238&gt;=70,"Batch 2",IF(AF238&gt;=60,"Batch 3","Backlog")))</x:f>
        <x:v>Backlog</x:v>
      </x:c>
      <x:c r="AH238" t="inlineStr">
        <x:is>
          <x:t xml:space="preserve"/>
        </x:is>
      </x:c>
    </x:row>
    <x:row r="239">
      <x:c r="A239" s="5" t="inlineStr">
        <x:is>
          <x:t xml:space="preserve">GPO-SCR-12</x:t>
        </x:is>
      </x:c>
      <x:c r="B239" s="5" t="n">
        <x:v>235</x:v>
      </x:c>
      <x:c r="C239" s="5" t="inlineStr">
        <x:is>
          <x:t xml:space="preserve">Screenwriting &amp; Story Development</x:t>
        </x:is>
      </x:c>
      <x:c r="D239" s="5" t="inlineStr">
        <x:is>
          <x:t xml:space="preserve">Create</x:t>
        </x:is>
      </x:c>
      <x:c r="E239" s="5" t="inlineStr">
        <x:is>
          <x:t xml:space="preserve">Expansion 150</x:t>
        </x:is>
      </x:c>
      <x:c r="F239" s="5" t="n">
        <x:v>12</x:v>
      </x:c>
      <x:c r="G239" s="5" t="inlineStr">
        <x:is>
          <x:t xml:space="preserve">Turn my life idea/theme into a commercial screenplay concept.</x:t>
        </x:is>
      </x:c>
      <x:c r="H239" s="6" t="n">
        <x:v>45</x:v>
      </x:c>
      <x:c r="I239" s="6" t="n">
        <x:v>45</x:v>
      </x:c>
      <x:c r="J239" s="7" t="n">
        <x:v>68</x:v>
      </x:c>
      <x:c r="K239" s="7" t="n">
        <x:v>55</x:v>
      </x:c>
      <x:c r="L239" s="8" t="inlineStr">
        <x:is>
          <x:t xml:space="preserve">UNTESTED</x:t>
        </x:is>
      </x:c>
      <x:c r="M239" s="9" t="inlineStr">
        <x:is>
          <x:t xml:space="preserve">UNTESTED</x:t>
        </x:is>
      </x:c>
      <x:c r="N239" s="5" t="inlineStr">
        <x:is>
          <x:t xml:space="preserve">creative ideation; story structure; tone control; character design</x:t>
        </x:is>
      </x:c>
      <x:c r="O239" s="5" t="inlineStr">
        <x:is>
          <x:t xml:space="preserve">Low</x:t>
        </x:is>
      </x:c>
      <x:c r="P239" s="5" t="inlineStr">
        <x:is>
          <x:t xml:space="preserve">Medium</x:t>
        </x:is>
      </x:c>
      <x:c r="Q239" s="5" t="inlineStr">
        <x:is>
          <x:t xml:space="preserve">Low</x:t>
        </x:is>
      </x:c>
      <x:c r="R239" s="5" t="inlineStr">
        <x:is>
          <x:t xml:space="preserve">Low</x:t>
        </x:is>
      </x:c>
      <x:c r="S239" s="5" t="inlineStr">
        <x:is>
          <x:t xml:space="preserve">Low</x:t>
        </x:is>
      </x:c>
      <x:c r="T239" s="5" t="inlineStr">
        <x:is>
          <x:t xml:space="preserve">ChatGPT or Claude creative mode</x:t>
        </x:is>
      </x:c>
      <x:c r="U239" s="5" t="inlineStr">
        <x:is>
          <x:t xml:space="preserve">Easy</x:t>
        </x:is>
      </x:c>
      <x:c r="V239" s="10" t="n">
        <x:v>1</x:v>
      </x:c>
      <x:c r="W239" s="5" t="inlineStr">
        <x:is>
          <x:t xml:space="preserve">Creative prompt run + human taste review</x:t>
        </x:is>
      </x:c>
      <x:c r="X239" s="5" t="inlineStr">
        <x:is>
          <x:t xml:space="preserve">logline / outline / scene rewrite / treatment</x:t>
        </x:is>
      </x:c>
      <x:c r="Y239" s="5" t="inlineStr">
        <x:is>
          <x:t xml:space="preserve">Story work feels coherent, original, and emotionally alive.</x:t>
        </x:is>
      </x:c>
      <x:c r="Z239" s="5" t="inlineStr">
        <x:is>
          <x:t xml:space="preserve">Cliche ideas, flat dialogue, weak stakes, or no tonal discipline.</x:t>
        </x:is>
      </x:c>
      <x:c r="AA239" s="5" t="inlineStr">
        <x:is>
          <x:t xml:space="preserve">creative mode / style packs / development workflow</x:t>
        </x:is>
      </x:c>
      <x:c r="AB239" s="5" t="inlineStr">
        <x:is>
          <x:t xml:space="preserve"/>
        </x:is>
      </x:c>
      <x:c r="AC239" s="5" t="inlineStr">
        <x:is>
          <x:t xml:space="preserve">OpenAI practical guidance includes creative ideation; creator surveys show broad use of generative AI in creative workflows.</x:t>
        </x:is>
      </x:c>
      <x:c r="AD239" s="5" t="inlineStr">
        <x:is>
          <x:t xml:space="preserve">OpenAI How People Use ChatGPT paper; Adobe creators survey 2025; Wondercraft/Digiday creator workflow survey 2025</x:t>
        </x:is>
      </x:c>
      <x:c r="AE239" s="11">
        <x:f>IF(O239="High",20,IF(O239="Medium",10,IF(O239="Low",5,0)))+IF(P239="High",20,IF(P239="Medium",10,IF(P239="Low",5,0)))+IF(Q239="High",20,IF(Q239="Medium",10,IF(Q239="Low",5,0)))+IF(R239="High",20,IF(R239="Medium",10,IF(R239="Low",5,0)))+IF(S239="High",20,IF(S239="Medium",10,IF(S239="Low",5,0)))</x:f>
        <x:v>30</x:v>
      </x:c>
      <x:c r="AF239" s="12">
        <x:f>ROUND(H239*0.30+J239*0.25+K239*0.20+(100-AE239)*0.10+(100-(V239*20))*0.15,0)</x:f>
        <x:v>61</x:v>
      </x:c>
      <x:c r="AG239" s="13" t="str">
        <x:f>IF(AF239&gt;=80,"Batch 1",IF(AF239&gt;=70,"Batch 2",IF(AF239&gt;=60,"Batch 3","Backlog")))</x:f>
        <x:v>Batch 3</x:v>
      </x:c>
      <x:c r="AH239" t="inlineStr">
        <x:is>
          <x:t xml:space="preserve"/>
        </x:is>
      </x:c>
    </x:row>
    <x:row r="240">
      <x:c r="A240" s="5" t="inlineStr">
        <x:is>
          <x:t xml:space="preserve">GPO-HEA-13</x:t>
        </x:is>
      </x:c>
      <x:c r="B240" s="5" t="n">
        <x:v>236</x:v>
      </x:c>
      <x:c r="C240" s="5" t="inlineStr">
        <x:is>
          <x:t xml:space="preserve">Health &amp; Wellness Coach</x:t>
        </x:is>
      </x:c>
      <x:c r="D240" s="5" t="inlineStr">
        <x:is>
          <x:t xml:space="preserve">Care</x:t>
        </x:is>
      </x:c>
      <x:c r="E240" s="5" t="inlineStr">
        <x:is>
          <x:t xml:space="preserve">Expansion 150</x:t>
        </x:is>
      </x:c>
      <x:c r="F240" s="5" t="n">
        <x:v>13</x:v>
      </x:c>
      <x:c r="G240" s="5" t="inlineStr">
        <x:is>
          <x:t xml:space="preserve">Create a high-protein, low-friction meal plan that fits my budget and culture.</x:t>
        </x:is>
      </x:c>
      <x:c r="H240" s="6" t="n">
        <x:v>56</x:v>
      </x:c>
      <x:c r="I240" s="6" t="n">
        <x:v>56</x:v>
      </x:c>
      <x:c r="J240" s="7" t="n">
        <x:v>52</x:v>
      </x:c>
      <x:c r="K240" s="7" t="n">
        <x:v>54</x:v>
      </x:c>
      <x:c r="L240" s="8" t="inlineStr">
        <x:is>
          <x:t xml:space="preserve">UNTESTED</x:t>
        </x:is>
      </x:c>
      <x:c r="M240" s="9" t="inlineStr">
        <x:is>
          <x:t xml:space="preserve">UNTESTED</x:t>
        </x:is>
      </x:c>
      <x:c r="N240" s="5" t="inlineStr">
        <x:is>
          <x:t xml:space="preserve">health explanation; risk framing; behavior coaching; careful disclaimer handling</x:t>
        </x:is>
      </x:c>
      <x:c r="O240" s="5" t="inlineStr">
        <x:is>
          <x:t xml:space="preserve">Medium</x:t>
        </x:is>
      </x:c>
      <x:c r="P240" s="5" t="inlineStr">
        <x:is>
          <x:t xml:space="preserve">High</x:t>
        </x:is>
      </x:c>
      <x:c r="Q240" s="5" t="inlineStr">
        <x:is>
          <x:t xml:space="preserve">Low</x:t>
        </x:is>
      </x:c>
      <x:c r="R240" s="5" t="inlineStr">
        <x:is>
          <x:t xml:space="preserve">Low</x:t>
        </x:is>
      </x:c>
      <x:c r="S240" s="5" t="inlineStr">
        <x:is>
          <x:t xml:space="preserve">Medium</x:t>
        </x:is>
      </x:c>
      <x:c r="T240" s="5" t="inlineStr">
        <x:is>
          <x:t xml:space="preserve">ChatGPT primary with careful guardrails</x:t>
        </x:is>
      </x:c>
      <x:c r="U240" s="5" t="inlineStr">
        <x:is>
          <x:t xml:space="preserve">Medium</x:t>
        </x:is>
      </x:c>
      <x:c r="V240" s="10" t="n">
        <x:v>2</x:v>
      </x:c>
      <x:c r="W240" s="5" t="inlineStr">
        <x:is>
          <x:t xml:space="preserve">Scenario prompts + safety review + usefulness review</x:t>
        </x:is>
      </x:c>
      <x:c r="X240" s="5" t="inlineStr">
        <x:is>
          <x:t xml:space="preserve">plan / explanation / checklist / prep brief</x:t>
        </x:is>
      </x:c>
      <x:c r="Y240" s="5" t="inlineStr">
        <x:is>
          <x:t xml:space="preserve">Useful, cautious, practical guidance that stays within safe boundaries.</x:t>
        </x:is>
      </x:c>
      <x:c r="Z240" s="5" t="inlineStr">
        <x:is>
          <x:t xml:space="preserve">Overconfident medical claims, weak escalation guidance, or unsafe advice.</x:t>
        </x:is>
      </x:c>
      <x:c r="AA240" s="5" t="inlineStr">
        <x:is>
          <x:t xml:space="preserve">safety layer / health mode / evidence grounding</x:t>
        </x:is>
      </x:c>
      <x:c r="AB240" s="5" t="inlineStr">
        <x:is>
          <x:t xml:space="preserve"/>
        </x:is>
      </x:c>
      <x:c r="AC240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40" s="5" t="inlineStr">
        <x:is>
          <x:t xml:space="preserve">OpenAI Introducing GPT-5; APPC 2025 health survey; Deloitte Connected Consumer 2025</x:t>
        </x:is>
      </x:c>
      <x:c r="AE240" s="11">
        <x:f>IF(O240="High",20,IF(O240="Medium",10,IF(O240="Low",5,0)))+IF(P240="High",20,IF(P240="Medium",10,IF(P240="Low",5,0)))+IF(Q240="High",20,IF(Q240="Medium",10,IF(Q240="Low",5,0)))+IF(R240="High",20,IF(R240="Medium",10,IF(R240="Low",5,0)))+IF(S240="High",20,IF(S240="Medium",10,IF(S240="Low",5,0)))</x:f>
        <x:v>50</x:v>
      </x:c>
      <x:c r="AF240" s="12">
        <x:f>ROUND(H240*0.30+J240*0.25+K240*0.20+(100-AE240)*0.10+(100-(V240*20))*0.15,0)</x:f>
        <x:v>55</x:v>
      </x:c>
      <x:c r="AG240" s="13" t="str">
        <x:f>IF(AF240&gt;=80,"Batch 1",IF(AF240&gt;=70,"Batch 2",IF(AF240&gt;=60,"Batch 3","Backlog")))</x:f>
        <x:v>Backlog</x:v>
      </x:c>
      <x:c r="AH240" t="inlineStr">
        <x:is>
          <x:t xml:space="preserve"/>
        </x:is>
      </x:c>
    </x:row>
    <x:row r="241">
      <x:c r="A241" s="5" t="inlineStr">
        <x:is>
          <x:t xml:space="preserve">GPO-FIL-04</x:t>
        </x:is>
      </x:c>
      <x:c r="B241" s="5" t="n">
        <x:v>237</x:v>
      </x:c>
      <x:c r="C241" s="5" t="inlineStr">
        <x:is>
          <x:t xml:space="preserve">Filmmaking &amp; Video Production</x:t>
        </x:is>
      </x:c>
      <x:c r="D241" s="5" t="inlineStr">
        <x:is>
          <x:t xml:space="preserve">Create</x:t>
        </x:is>
      </x:c>
      <x:c r="E241" s="5" t="inlineStr">
        <x:is>
          <x:t xml:space="preserve">Core 150</x:t>
        </x:is>
      </x:c>
      <x:c r="F241" s="5" t="n">
        <x:v>4</x:v>
      </x:c>
      <x:c r="G241" s="5" t="inlineStr">
        <x:is>
          <x:t xml:space="preserve">Break this screenplay into scenes and recommend the best current tools per scene.</x:t>
        </x:is>
      </x:c>
      <x:c r="H241" s="6" t="n">
        <x:v>53</x:v>
      </x:c>
      <x:c r="I241" s="6" t="n">
        <x:v>53</x:v>
      </x:c>
      <x:c r="J241" s="7" t="n">
        <x:v>56</x:v>
      </x:c>
      <x:c r="K241" s="7" t="n">
        <x:v>54</x:v>
      </x:c>
      <x:c r="L241" s="8" t="inlineStr">
        <x:is>
          <x:t xml:space="preserve">UNTESTED</x:t>
        </x:is>
      </x:c>
      <x:c r="M241" s="9" t="inlineStr">
        <x:is>
          <x:t xml:space="preserve">UNTESTED</x:t>
        </x:is>
      </x:c>
      <x:c r="N241" s="5" t="inlineStr">
        <x:is>
          <x:t xml:space="preserve">shot planning; multimodal coordination; tool routing; production workflow</x:t>
        </x:is>
      </x:c>
      <x:c r="O241" s="5" t="inlineStr">
        <x:is>
          <x:t xml:space="preserve">Low</x:t>
        </x:is>
      </x:c>
      <x:c r="P241" s="5" t="inlineStr">
        <x:is>
          <x:t xml:space="preserve">Medium</x:t>
        </x:is>
      </x:c>
      <x:c r="Q241" s="5" t="inlineStr">
        <x:is>
          <x:t xml:space="preserve">High</x:t>
        </x:is>
      </x:c>
      <x:c r="R241" s="5" t="inlineStr">
        <x:is>
          <x:t xml:space="preserve">High</x:t>
        </x:is>
      </x:c>
      <x:c r="S241" s="5" t="inlineStr">
        <x:is>
          <x:t xml:space="preserve">Medium</x:t>
        </x:is>
      </x:c>
      <x:c r="T241" s="5" t="inlineStr">
        <x:is>
          <x:t xml:space="preserve">Claude planning + external video/image tools</x:t>
        </x:is>
      </x:c>
      <x:c r="U241" s="5" t="inlineStr">
        <x:is>
          <x:t xml:space="preserve">Hard</x:t>
        </x:is>
      </x:c>
      <x:c r="V241" s="10" t="n">
        <x:v>3</x:v>
      </x:c>
      <x:c r="W241" s="5" t="inlineStr">
        <x:is>
          <x:t xml:space="preserve">Workflow plan + asset chain review</x:t>
        </x:is>
      </x:c>
      <x:c r="X241" s="5" t="inlineStr">
        <x:is>
          <x:t xml:space="preserve">shot list / storyboard / production workflow / tool stack recommendation</x:t>
        </x:is>
      </x:c>
      <x:c r="Y241" s="5" t="inlineStr">
        <x:is>
          <x:t xml:space="preserve">Workflow is executable with current tools and preserves consistency across assets.</x:t>
        </x:is>
      </x:c>
      <x:c r="Z241" s="5" t="inlineStr">
        <x:is>
          <x:t xml:space="preserve">Ignores tool limits, no consistency strategy, or vague production logic.</x:t>
        </x:is>
      </x:c>
      <x:c r="AA241" s="5" t="inlineStr">
        <x:is>
          <x:t xml:space="preserve">multimodal orchestration / provider routing / asset schema</x:t>
        </x:is>
      </x:c>
      <x:c r="AB241" s="5" t="inlineStr">
        <x:is>
          <x:t xml:space="preserve"/>
        </x:is>
      </x:c>
      <x:c r="AC241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41" s="5" t="inlineStr">
        <x:is>
          <x:t xml:space="preserve">Wondercraft/Digiday creator workflow survey 2025; Artificial Analysis generative media survey 2025; Reuters/Canal+ 2026</x:t>
        </x:is>
      </x:c>
      <x:c r="AE241" s="11">
        <x:f>IF(O241="High",20,IF(O241="Medium",10,IF(O241="Low",5,0)))+IF(P241="High",20,IF(P241="Medium",10,IF(P241="Low",5,0)))+IF(Q241="High",20,IF(Q241="Medium",10,IF(Q241="Low",5,0)))+IF(R241="High",20,IF(R241="Medium",10,IF(R241="Low",5,0)))+IF(S241="High",20,IF(S241="Medium",10,IF(S241="Low",5,0)))</x:f>
        <x:v>65</x:v>
      </x:c>
      <x:c r="AF241" s="12">
        <x:f>ROUND(H241*0.30+J241*0.25+K241*0.20+(100-AE241)*0.10+(100-(V241*20))*0.15,0)</x:f>
        <x:v>50</x:v>
      </x:c>
      <x:c r="AG241" s="13" t="str">
        <x:f>IF(AF241&gt;=80,"Batch 1",IF(AF241&gt;=70,"Batch 2",IF(AF241&gt;=60,"Batch 3","Backlog")))</x:f>
        <x:v>Backlog</x:v>
      </x:c>
      <x:c r="AH241" t="inlineStr">
        <x:is>
          <x:t xml:space="preserve"/>
        </x:is>
      </x:c>
    </x:row>
    <x:row r="242">
      <x:c r="A242" s="5" t="inlineStr">
        <x:is>
          <x:t xml:space="preserve">GPO-STA-17</x:t>
        </x:is>
      </x:c>
      <x:c r="B242" s="5" t="n">
        <x:v>238</x:v>
      </x:c>
      <x:c r="C242" s="5" t="inlineStr">
        <x:is>
          <x:t xml:space="preserve">Startup &amp; Business Builder</x:t>
        </x:is>
      </x:c>
      <x:c r="D242" s="5" t="inlineStr">
        <x:is>
          <x:t xml:space="preserve">Build</x:t>
        </x:is>
      </x:c>
      <x:c r="E242" s="5" t="inlineStr">
        <x:is>
          <x:t xml:space="preserve">Expansion 150</x:t>
        </x:is>
      </x:c>
      <x:c r="F242" s="5" t="n">
        <x:v>17</x:v>
      </x:c>
      <x:c r="G242" s="5" t="inlineStr">
        <x:is>
          <x:t xml:space="preserve">Turn this vision into a quarterly roadmap with success metrics.</x:t>
        </x:is>
      </x:c>
      <x:c r="H242" s="6" t="n">
        <x:v>45</x:v>
      </x:c>
      <x:c r="I242" s="6" t="n">
        <x:v>45</x:v>
      </x:c>
      <x:c r="J242" s="7" t="n">
        <x:v>67</x:v>
      </x:c>
      <x:c r="K242" s="7" t="n">
        <x:v>55</x:v>
      </x:c>
      <x:c r="L242" s="8" t="inlineStr">
        <x:is>
          <x:t xml:space="preserve">UNTESTED</x:t>
        </x:is>
      </x:c>
      <x:c r="M242" s="9" t="inlineStr">
        <x:is>
          <x:t xml:space="preserve">UNTESTED</x:t>
        </x:is>
      </x:c>
      <x:c r="N242" s="5" t="inlineStr">
        <x:is>
          <x:t xml:space="preserve">strategy; product thinking; GTM reasoning; structured planning</x:t>
        </x:is>
      </x:c>
      <x:c r="O242" s="5" t="inlineStr">
        <x:is>
          <x:t xml:space="preserve">Medium</x:t>
        </x:is>
      </x:c>
      <x:c r="P242" s="5" t="inlineStr">
        <x:is>
          <x:t xml:space="preserve">High</x:t>
        </x:is>
      </x:c>
      <x:c r="Q242" s="5" t="inlineStr">
        <x:is>
          <x:t xml:space="preserve">Low</x:t>
        </x:is>
      </x:c>
      <x:c r="R242" s="5" t="inlineStr">
        <x:is>
          <x:t xml:space="preserve">Medium</x:t>
        </x:is>
      </x:c>
      <x:c r="S242" s="5" t="inlineStr">
        <x:is>
          <x:t xml:space="preserve">Low</x:t>
        </x:is>
      </x:c>
      <x:c r="T242" s="5" t="inlineStr">
        <x:is>
          <x:t xml:space="preserve">Claude + ChatGPT combo</x:t>
        </x:is>
      </x:c>
      <x:c r="U242" s="5" t="inlineStr">
        <x:is>
          <x:t xml:space="preserve">Medium</x:t>
        </x:is>
      </x:c>
      <x:c r="V242" s="10" t="n">
        <x:v>2</x:v>
      </x:c>
      <x:c r="W242" s="5" t="inlineStr">
        <x:is>
          <x:t xml:space="preserve">Plan generation + critique + strategic review</x:t>
        </x:is>
      </x:c>
      <x:c r="X242" s="5" t="inlineStr">
        <x:is>
          <x:t xml:space="preserve">roadmap / GTM plan / business memo</x:t>
        </x:is>
      </x:c>
      <x:c r="Y242" s="5" t="inlineStr">
        <x:is>
          <x:t xml:space="preserve">Recommendation is strategically sharp, prioritized, and grounded in market reality.</x:t>
        </x:is>
      </x:c>
      <x:c r="Z242" s="5" t="inlineStr">
        <x:is>
          <x:t xml:space="preserve">Buzzwordy output, no wedge, weak prioritization, or unearned confidence.</x:t>
        </x:is>
      </x:c>
      <x:c r="AA242" s="5" t="inlineStr">
        <x:is>
          <x:t xml:space="preserve">strategy templates / board logic / critique loop</x:t>
        </x:is>
      </x:c>
      <x:c r="AB242" s="5" t="inlineStr">
        <x:is>
          <x:t xml:space="preserve"/>
        </x:is>
      </x:c>
      <x:c r="AC242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42" s="5" t="inlineStr">
        <x:is>
          <x:t xml:space="preserve">OpenAI How People Use ChatGPT paper; Menlo State of Consumer AI 2025; Menlo AI UI Problem 2025</x:t>
        </x:is>
      </x:c>
      <x:c r="AE242" s="11">
        <x:f>IF(O242="High",20,IF(O242="Medium",10,IF(O242="Low",5,0)))+IF(P242="High",20,IF(P242="Medium",10,IF(P242="Low",5,0)))+IF(Q242="High",20,IF(Q242="Medium",10,IF(Q242="Low",5,0)))+IF(R242="High",20,IF(R242="Medium",10,IF(R242="Low",5,0)))+IF(S242="High",20,IF(S242="Medium",10,IF(S242="Low",5,0)))</x:f>
        <x:v>50</x:v>
      </x:c>
      <x:c r="AF242" s="12">
        <x:f>ROUND(H242*0.30+J242*0.25+K242*0.20+(100-AE242)*0.10+(100-(V242*20))*0.15,0)</x:f>
        <x:v>55</x:v>
      </x:c>
      <x:c r="AG242" s="13" t="str">
        <x:f>IF(AF242&gt;=80,"Batch 1",IF(AF242&gt;=70,"Batch 2",IF(AF242&gt;=60,"Batch 3","Backlog")))</x:f>
        <x:v>Backlog</x:v>
      </x:c>
      <x:c r="AH242" t="inlineStr">
        <x:is>
          <x:t xml:space="preserve"/>
        </x:is>
      </x:c>
    </x:row>
    <x:row r="243">
      <x:c r="A243" s="5" t="inlineStr">
        <x:is>
          <x:t xml:space="preserve">GPO-HOM-06</x:t>
        </x:is>
      </x:c>
      <x:c r="B243" s="5" t="n">
        <x:v>239</x:v>
      </x:c>
      <x:c r="C243" s="5" t="inlineStr">
        <x:is>
          <x:t xml:space="preserve">Home &amp; Lifestyle Design</x:t>
        </x:is>
      </x:c>
      <x:c r="D243" s="5" t="inlineStr">
        <x:is>
          <x:t xml:space="preserve">Design</x:t>
        </x:is>
      </x:c>
      <x:c r="E243" s="5" t="inlineStr">
        <x:is>
          <x:t xml:space="preserve">Core 150</x:t>
        </x:is>
      </x:c>
      <x:c r="F243" s="5" t="n">
        <x:v>6</x:v>
      </x:c>
      <x:c r="G243" s="5" t="inlineStr">
        <x:is>
          <x:t xml:space="preserve">Create a renovation or build roadmap for this room.</x:t>
        </x:is>
      </x:c>
      <x:c r="H243" s="6" t="n">
        <x:v>43</x:v>
      </x:c>
      <x:c r="I243" s="6" t="n">
        <x:v>43</x:v>
      </x:c>
      <x:c r="J243" s="7" t="n">
        <x:v>70</x:v>
      </x:c>
      <x:c r="K243" s="7" t="n">
        <x:v>55</x:v>
      </x:c>
      <x:c r="L243" s="8" t="inlineStr">
        <x:is>
          <x:t xml:space="preserve">UNTESTED</x:t>
        </x:is>
      </x:c>
      <x:c r="M243" s="9" t="inlineStr">
        <x:is>
          <x:t xml:space="preserve">UNTESTED</x:t>
        </x:is>
      </x:c>
      <x:c r="N243" s="5" t="inlineStr">
        <x:is>
          <x:t xml:space="preserve">space planning; product curation; aesthetic reasoning; phased project planning</x:t>
        </x:is>
      </x:c>
      <x:c r="O243" s="5" t="inlineStr">
        <x:is>
          <x:t xml:space="preserve">Medium</x:t>
        </x:is>
      </x:c>
      <x:c r="P243" s="5" t="inlineStr">
        <x:is>
          <x:t xml:space="preserve">High</x:t>
        </x:is>
      </x:c>
      <x:c r="Q243" s="5" t="inlineStr">
        <x:is>
          <x:t xml:space="preserve">Medium</x:t>
        </x:is>
      </x:c>
      <x:c r="R243" s="5" t="inlineStr">
        <x:is>
          <x:t xml:space="preserve">Low</x:t>
        </x:is>
      </x:c>
      <x:c r="S243" s="5" t="inlineStr">
        <x:is>
          <x:t xml:space="preserve">Low</x:t>
        </x:is>
      </x:c>
      <x:c r="T243" s="5" t="inlineStr">
        <x:is>
          <x:t xml:space="preserve">ChatGPT with web; image/design tools later</x:t>
        </x:is>
      </x:c>
      <x:c r="U243" s="5" t="inlineStr">
        <x:is>
          <x:t xml:space="preserve">Medium</x:t>
        </x:is>
      </x:c>
      <x:c r="V243" s="10" t="n">
        <x:v>2</x:v>
      </x:c>
      <x:c r="W243" s="5" t="inlineStr">
        <x:is>
          <x:t xml:space="preserve">Design brief generation + feasibility review</x:t>
        </x:is>
      </x:c>
      <x:c r="X243" s="5" t="inlineStr">
        <x:is>
          <x:t xml:space="preserve">layout / shopping plan / phased upgrade roadmap</x:t>
        </x:is>
      </x:c>
      <x:c r="Y243" s="5" t="inlineStr">
        <x:is>
          <x:t xml:space="preserve">Design plan feels cohesive, practical, and matched to lifestyle goals.</x:t>
        </x:is>
      </x:c>
      <x:c r="Z243" s="5" t="inlineStr">
        <x:is>
          <x:t xml:space="preserve">Pretty but impractical suggestions, no budget logic, or weak taste alignment.</x:t>
        </x:is>
      </x:c>
      <x:c r="AA243" s="5" t="inlineStr">
        <x:is>
          <x:t xml:space="preserve">design preference memory / shopping integration / image workflow</x:t>
        </x:is>
      </x:c>
      <x:c r="AB243" s="5" t="inlineStr">
        <x:is>
          <x:t xml:space="preserve"/>
        </x:is>
      </x:c>
      <x:c r="AC24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43" s="5" t="inlineStr">
        <x:is>
          <x:t xml:space="preserve">ThinkLab 2025 design benchmark; Houzz 2025 AI in construction &amp; design; Canadian Contractor/Mattoboard survey 2025</x:t>
        </x:is>
      </x:c>
      <x:c r="AE243" s="11">
        <x:f>IF(O243="High",20,IF(O243="Medium",10,IF(O243="Low",5,0)))+IF(P243="High",20,IF(P243="Medium",10,IF(P243="Low",5,0)))+IF(Q243="High",20,IF(Q243="Medium",10,IF(Q243="Low",5,0)))+IF(R243="High",20,IF(R243="Medium",10,IF(R243="Low",5,0)))+IF(S243="High",20,IF(S243="Medium",10,IF(S243="Low",5,0)))</x:f>
        <x:v>50</x:v>
      </x:c>
      <x:c r="AF243" s="12">
        <x:f>ROUND(H243*0.30+J243*0.25+K243*0.20+(100-AE243)*0.10+(100-(V243*20))*0.15,0)</x:f>
        <x:v>55</x:v>
      </x:c>
      <x:c r="AG243" s="13" t="str">
        <x:f>IF(AF243&gt;=80,"Batch 1",IF(AF243&gt;=70,"Batch 2",IF(AF243&gt;=60,"Batch 3","Backlog")))</x:f>
        <x:v>Backlog</x:v>
      </x:c>
      <x:c r="AH243" t="inlineStr">
        <x:is>
          <x:t xml:space="preserve"/>
        </x:is>
      </x:c>
    </x:row>
    <x:row r="244">
      <x:c r="A244" s="5" t="inlineStr">
        <x:is>
          <x:t xml:space="preserve">GPO-PER-17</x:t>
        </x:is>
      </x:c>
      <x:c r="B244" s="5" t="n">
        <x:v>240</x:v>
      </x:c>
      <x:c r="C244" s="5" t="inlineStr">
        <x:is>
          <x:t xml:space="preserve">Personal Finance &amp; Investing</x:t>
        </x:is>
      </x:c>
      <x:c r="D244" s="5" t="inlineStr">
        <x:is>
          <x:t xml:space="preserve">Money</x:t>
        </x:is>
      </x:c>
      <x:c r="E244" s="5" t="inlineStr">
        <x:is>
          <x:t xml:space="preserve">Expansion 150</x:t>
        </x:is>
      </x:c>
      <x:c r="F244" s="5" t="n">
        <x:v>17</x:v>
      </x:c>
      <x:c r="G244" s="5" t="inlineStr">
        <x:is>
          <x:t xml:space="preserve">Compare financial scenarios if I stay in the U.S., move, or take a career break.</x:t>
        </x:is>
      </x:c>
      <x:c r="H244" s="6" t="n">
        <x:v>46</x:v>
      </x:c>
      <x:c r="I244" s="6" t="n">
        <x:v>46</x:v>
      </x:c>
      <x:c r="J244" s="7" t="n">
        <x:v>65</x:v>
      </x:c>
      <x:c r="K244" s="7" t="n">
        <x:v>55</x:v>
      </x:c>
      <x:c r="L244" s="8" t="inlineStr">
        <x:is>
          <x:t xml:space="preserve">UNTESTED</x:t>
        </x:is>
      </x:c>
      <x:c r="M244" s="9" t="inlineStr">
        <x:is>
          <x:t xml:space="preserve">UNTESTED</x:t>
        </x:is>
      </x:c>
      <x:c r="N244" s="5" t="inlineStr">
        <x:is>
          <x:t xml:space="preserve">scenario modeling; budgeting; portfolio reasoning; decision framing</x:t>
        </x:is>
      </x:c>
      <x:c r="O244" s="5" t="inlineStr">
        <x:is>
          <x:t xml:space="preserve">Medium</x:t>
        </x:is>
      </x:c>
      <x:c r="P244" s="5" t="inlineStr">
        <x:is>
          <x:t xml:space="preserve">High</x:t>
        </x:is>
      </x:c>
      <x:c r="Q244" s="5" t="inlineStr">
        <x:is>
          <x:t xml:space="preserve">Medium</x:t>
        </x:is>
      </x:c>
      <x:c r="R244" s="5" t="inlineStr">
        <x:is>
          <x:t xml:space="preserve">Low</x:t>
        </x:is>
      </x:c>
      <x:c r="S244" s="5" t="inlineStr">
        <x:is>
          <x:t xml:space="preserve">Medium</x:t>
        </x:is>
      </x:c>
      <x:c r="T244" s="5" t="inlineStr">
        <x:is>
          <x:t xml:space="preserve">ChatGPT or Claude with spreadsheet support</x:t>
        </x:is>
      </x:c>
      <x:c r="U244" s="5" t="inlineStr">
        <x:is>
          <x:t xml:space="preserve">Medium</x:t>
        </x:is>
      </x:c>
      <x:c r="V244" s="10" t="n">
        <x:v>2</x:v>
      </x:c>
      <x:c r="W244" s="5" t="inlineStr">
        <x:is>
          <x:t xml:space="preserve">Scenario modeling + coherence review</x:t>
        </x:is>
      </x:c>
      <x:c r="X244" s="5" t="inlineStr">
        <x:is>
          <x:t xml:space="preserve">budget / model / plan / recommendation</x:t>
        </x:is>
      </x:c>
      <x:c r="Y244" s="5" t="inlineStr">
        <x:is>
          <x:t xml:space="preserve">Advice is numerically coherent, practical, and transparent about assumptions.</x:t>
        </x:is>
      </x:c>
      <x:c r="Z244" s="5" t="inlineStr">
        <x:is>
          <x:t xml:space="preserve">Bad math, missing assumptions, or overconfident investment guidance.</x:t>
        </x:is>
      </x:c>
      <x:c r="AA244" s="5" t="inlineStr">
        <x:is>
          <x:t xml:space="preserve">financial calculator / assumption schema / spreadsheet outputs</x:t>
        </x:is>
      </x:c>
      <x:c r="AB244" s="5" t="inlineStr">
        <x:is>
          <x:t xml:space="preserve"/>
        </x:is>
      </x:c>
      <x:c r="AC244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44" s="5" t="inlineStr">
        <x:is>
          <x:t xml:space="preserve">FNBO Financial Wellbeing Study 2025; NerdWallet/Harris Poll 2026; PlanAdviser 2026</x:t>
        </x:is>
      </x:c>
      <x:c r="AE244" s="11">
        <x:f>IF(O244="High",20,IF(O244="Medium",10,IF(O244="Low",5,0)))+IF(P244="High",20,IF(P244="Medium",10,IF(P244="Low",5,0)))+IF(Q244="High",20,IF(Q244="Medium",10,IF(Q244="Low",5,0)))+IF(R244="High",20,IF(R244="Medium",10,IF(R244="Low",5,0)))+IF(S244="High",20,IF(S244="Medium",10,IF(S244="Low",5,0)))</x:f>
        <x:v>55</x:v>
      </x:c>
      <x:c r="AF244" s="12">
        <x:f>ROUND(H244*0.30+J244*0.25+K244*0.20+(100-AE244)*0.10+(100-(V244*20))*0.15,0)</x:f>
        <x:v>55</x:v>
      </x:c>
      <x:c r="AG244" s="13" t="str">
        <x:f>IF(AF244&gt;=80,"Batch 1",IF(AF244&gt;=70,"Batch 2",IF(AF244&gt;=60,"Batch 3","Backlog")))</x:f>
        <x:v>Backlog</x:v>
      </x:c>
      <x:c r="AH244" t="inlineStr">
        <x:is>
          <x:t xml:space="preserve"/>
        </x:is>
      </x:c>
    </x:row>
    <x:row r="245">
      <x:c r="A245" s="5" t="inlineStr">
        <x:is>
          <x:t xml:space="preserve">GPO-SHO-21</x:t>
        </x:is>
      </x:c>
      <x:c r="B245" s="5" t="n">
        <x:v>241</x:v>
      </x:c>
      <x:c r="C245" s="5" t="inlineStr">
        <x:is>
          <x:t xml:space="preserve">Shopping &amp; Buying Advisor</x:t>
        </x:is>
      </x:c>
      <x:c r="D245" s="5" t="inlineStr">
        <x:is>
          <x:t xml:space="preserve">Buy</x:t>
        </x:is>
      </x:c>
      <x:c r="E245" s="5" t="inlineStr">
        <x:is>
          <x:t xml:space="preserve">Stretch 60</x:t>
        </x:is>
      </x:c>
      <x:c r="F245" s="5" t="n">
        <x:v>21</x:v>
      </x:c>
      <x:c r="G245" s="5" t="inlineStr">
        <x:is>
          <x:t xml:space="preserve">Build a purchase recommendation engine that balances specs, resale, ecosystem fit, and taste.</x:t>
        </x:is>
      </x:c>
      <x:c r="H245" s="6" t="n">
        <x:v>43</x:v>
      </x:c>
      <x:c r="I245" s="6" t="n">
        <x:v>43</x:v>
      </x:c>
      <x:c r="J245" s="7" t="n">
        <x:v>69</x:v>
      </x:c>
      <x:c r="K245" s="7" t="n">
        <x:v>55</x:v>
      </x:c>
      <x:c r="L245" s="8" t="inlineStr">
        <x:is>
          <x:t xml:space="preserve">UNTESTED</x:t>
        </x:is>
      </x:c>
      <x:c r="M245" s="9" t="inlineStr">
        <x:is>
          <x:t xml:space="preserve">UNTESTED</x:t>
        </x:is>
      </x:c>
      <x:c r="N245" s="5" t="inlineStr">
        <x:is>
          <x:t xml:space="preserve">web/product research; comparison; price-value reasoning; shortlist generation</x:t>
        </x:is>
      </x:c>
      <x:c r="O245" s="5" t="inlineStr">
        <x:is>
          <x:t xml:space="preserve">High</x:t>
        </x:is>
      </x:c>
      <x:c r="P245" s="5" t="inlineStr">
        <x:is>
          <x:t xml:space="preserve">Medium</x:t>
        </x:is>
      </x:c>
      <x:c r="Q245" s="5" t="inlineStr">
        <x:is>
          <x:t xml:space="preserve">Medium</x:t>
        </x:is>
      </x:c>
      <x:c r="R245" s="5" t="inlineStr">
        <x:is>
          <x:t xml:space="preserve">Low</x:t>
        </x:is>
      </x:c>
      <x:c r="S245" s="5" t="inlineStr">
        <x:is>
          <x:t xml:space="preserve">Low</x:t>
        </x:is>
      </x:c>
      <x:c r="T245" s="5" t="inlineStr">
        <x:is>
          <x:t xml:space="preserve">ChatGPT with web</x:t>
        </x:is>
      </x:c>
      <x:c r="U245" s="5" t="inlineStr">
        <x:is>
          <x:t xml:space="preserve">Hard</x:t>
        </x:is>
      </x:c>
      <x:c r="V245" s="10" t="n">
        <x:v>3</x:v>
      </x:c>
      <x:c r="W245" s="5" t="inlineStr">
        <x:is>
          <x:t xml:space="preserve">Live shopping query + recommendation validation</x:t>
        </x:is>
      </x:c>
      <x:c r="X245" s="5" t="inlineStr">
        <x:is>
          <x:t xml:space="preserve">shortlist / recommendation / comparison / cart plan</x:t>
        </x:is>
      </x:c>
      <x:c r="Y245" s="5" t="inlineStr">
        <x:is>
          <x:t xml:space="preserve">Recommendation fits constraints and explains tradeoffs clearly.</x:t>
        </x:is>
      </x:c>
      <x:c r="Z245" s="5" t="inlineStr">
        <x:is>
          <x:t xml:space="preserve">Outdated products, poor fit, missed constraints, or shallow comparison.</x:t>
        </x:is>
      </x:c>
      <x:c r="AA245" s="5" t="inlineStr">
        <x:is>
          <x:t xml:space="preserve">web/product retrieval / comparison template / user preference memory</x:t>
        </x:is>
      </x:c>
      <x:c r="AB245" s="5" t="inlineStr">
        <x:is>
          <x:t xml:space="preserve"/>
        </x:is>
      </x:c>
      <x:c r="AC245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45" s="5" t="inlineStr">
        <x:is>
          <x:t xml:space="preserve">Deloitte Connected Consumer 2025; Salesforce Connected Shopper 2025; IAB 2025 shopping study</x:t>
        </x:is>
      </x:c>
      <x:c r="AE245" s="11">
        <x:f>IF(O245="High",20,IF(O245="Medium",10,IF(O245="Low",5,0)))+IF(P245="High",20,IF(P245="Medium",10,IF(P245="Low",5,0)))+IF(Q245="High",20,IF(Q245="Medium",10,IF(Q245="Low",5,0)))+IF(R245="High",20,IF(R245="Medium",10,IF(R245="Low",5,0)))+IF(S245="High",20,IF(S245="Medium",10,IF(S245="Low",5,0)))</x:f>
        <x:v>50</x:v>
      </x:c>
      <x:c r="AF245" s="12">
        <x:f>ROUND(H245*0.30+J245*0.25+K245*0.20+(100-AE245)*0.10+(100-(V245*20))*0.15,0)</x:f>
        <x:v>52</x:v>
      </x:c>
      <x:c r="AG245" s="13" t="str">
        <x:f>IF(AF245&gt;=80,"Batch 1",IF(AF245&gt;=70,"Batch 2",IF(AF245&gt;=60,"Batch 3","Backlog")))</x:f>
        <x:v>Backlog</x:v>
      </x:c>
      <x:c r="AH245" t="inlineStr">
        <x:is>
          <x:t xml:space="preserve"/>
        </x:is>
      </x:c>
    </x:row>
    <x:row r="246">
      <x:c r="A246" s="5" t="inlineStr">
        <x:is>
          <x:t xml:space="preserve">GPO-HEA-14</x:t>
        </x:is>
      </x:c>
      <x:c r="B246" s="5" t="n">
        <x:v>242</x:v>
      </x:c>
      <x:c r="C246" s="5" t="inlineStr">
        <x:is>
          <x:t xml:space="preserve">Health &amp; Wellness Coach</x:t>
        </x:is>
      </x:c>
      <x:c r="D246" s="5" t="inlineStr">
        <x:is>
          <x:t xml:space="preserve">Care</x:t>
        </x:is>
      </x:c>
      <x:c r="E246" s="5" t="inlineStr">
        <x:is>
          <x:t xml:space="preserve">Expansion 150</x:t>
        </x:is>
      </x:c>
      <x:c r="F246" s="5" t="n">
        <x:v>14</x:v>
      </x:c>
      <x:c r="G246" s="5" t="inlineStr">
        <x:is>
          <x:t xml:space="preserve">Help me improve posture, back pain prevention, and workstation ergonomics.</x:t>
        </x:is>
      </x:c>
      <x:c r="H246" s="6" t="n">
        <x:v>55</x:v>
      </x:c>
      <x:c r="I246" s="6" t="n">
        <x:v>55</x:v>
      </x:c>
      <x:c r="J246" s="7" t="n">
        <x:v>52</x:v>
      </x:c>
      <x:c r="K246" s="7" t="n">
        <x:v>54</x:v>
      </x:c>
      <x:c r="L246" s="8" t="inlineStr">
        <x:is>
          <x:t xml:space="preserve">UNTESTED</x:t>
        </x:is>
      </x:c>
      <x:c r="M246" s="9" t="inlineStr">
        <x:is>
          <x:t xml:space="preserve">UNTESTED</x:t>
        </x:is>
      </x:c>
      <x:c r="N246" s="5" t="inlineStr">
        <x:is>
          <x:t xml:space="preserve">health explanation; risk framing; behavior coaching; careful disclaimer handling</x:t>
        </x:is>
      </x:c>
      <x:c r="O246" s="5" t="inlineStr">
        <x:is>
          <x:t xml:space="preserve">Medium</x:t>
        </x:is>
      </x:c>
      <x:c r="P246" s="5" t="inlineStr">
        <x:is>
          <x:t xml:space="preserve">High</x:t>
        </x:is>
      </x:c>
      <x:c r="Q246" s="5" t="inlineStr">
        <x:is>
          <x:t xml:space="preserve">Low</x:t>
        </x:is>
      </x:c>
      <x:c r="R246" s="5" t="inlineStr">
        <x:is>
          <x:t xml:space="preserve">Low</x:t>
        </x:is>
      </x:c>
      <x:c r="S246" s="5" t="inlineStr">
        <x:is>
          <x:t xml:space="preserve">Medium</x:t>
        </x:is>
      </x:c>
      <x:c r="T246" s="5" t="inlineStr">
        <x:is>
          <x:t xml:space="preserve">ChatGPT primary with careful guardrails</x:t>
        </x:is>
      </x:c>
      <x:c r="U246" s="5" t="inlineStr">
        <x:is>
          <x:t xml:space="preserve">Medium</x:t>
        </x:is>
      </x:c>
      <x:c r="V246" s="10" t="n">
        <x:v>2</x:v>
      </x:c>
      <x:c r="W246" s="5" t="inlineStr">
        <x:is>
          <x:t xml:space="preserve">Scenario prompts + safety review + usefulness review</x:t>
        </x:is>
      </x:c>
      <x:c r="X246" s="5" t="inlineStr">
        <x:is>
          <x:t xml:space="preserve">plan / explanation / checklist / prep brief</x:t>
        </x:is>
      </x:c>
      <x:c r="Y246" s="5" t="inlineStr">
        <x:is>
          <x:t xml:space="preserve">Useful, cautious, practical guidance that stays within safe boundaries.</x:t>
        </x:is>
      </x:c>
      <x:c r="Z246" s="5" t="inlineStr">
        <x:is>
          <x:t xml:space="preserve">Overconfident medical claims, weak escalation guidance, or unsafe advice.</x:t>
        </x:is>
      </x:c>
      <x:c r="AA246" s="5" t="inlineStr">
        <x:is>
          <x:t xml:space="preserve">safety layer / health mode / evidence grounding</x:t>
        </x:is>
      </x:c>
      <x:c r="AB246" s="5" t="inlineStr">
        <x:is>
          <x:t xml:space="preserve"/>
        </x:is>
      </x:c>
      <x:c r="AC246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46" s="5" t="inlineStr">
        <x:is>
          <x:t xml:space="preserve">OpenAI Introducing GPT-5; APPC 2025 health survey; Deloitte Connected Consumer 2025</x:t>
        </x:is>
      </x:c>
      <x:c r="AE246" s="11">
        <x:f>IF(O246="High",20,IF(O246="Medium",10,IF(O246="Low",5,0)))+IF(P246="High",20,IF(P246="Medium",10,IF(P246="Low",5,0)))+IF(Q246="High",20,IF(Q246="Medium",10,IF(Q246="Low",5,0)))+IF(R246="High",20,IF(R246="Medium",10,IF(R246="Low",5,0)))+IF(S246="High",20,IF(S246="Medium",10,IF(S246="Low",5,0)))</x:f>
        <x:v>50</x:v>
      </x:c>
      <x:c r="AF246" s="12">
        <x:f>ROUND(H246*0.30+J246*0.25+K246*0.20+(100-AE246)*0.10+(100-(V246*20))*0.15,0)</x:f>
        <x:v>54</x:v>
      </x:c>
      <x:c r="AG246" s="13" t="str">
        <x:f>IF(AF246&gt;=80,"Batch 1",IF(AF246&gt;=70,"Batch 2",IF(AF246&gt;=60,"Batch 3","Backlog")))</x:f>
        <x:v>Backlog</x:v>
      </x:c>
      <x:c r="AH246" t="inlineStr">
        <x:is>
          <x:t xml:space="preserve"/>
        </x:is>
      </x:c>
    </x:row>
    <x:row r="247">
      <x:c r="A247" s="5" t="inlineStr">
        <x:is>
          <x:t xml:space="preserve">GPO-MUS-05</x:t>
        </x:is>
      </x:c>
      <x:c r="B247" s="5" t="n">
        <x:v>243</x:v>
      </x:c>
      <x:c r="C247" s="5" t="inlineStr">
        <x:is>
          <x:t xml:space="preserve">Music &amp; Audio Creation</x:t>
        </x:is>
      </x:c>
      <x:c r="D247" s="5" t="inlineStr">
        <x:is>
          <x:t xml:space="preserve">Create</x:t>
        </x:is>
      </x:c>
      <x:c r="E247" s="5" t="inlineStr">
        <x:is>
          <x:t xml:space="preserve">Core 150</x:t>
        </x:is>
      </x:c>
      <x:c r="F247" s="5" t="n">
        <x:v>5</x:v>
      </x:c>
      <x:c r="G247" s="5" t="inlineStr">
        <x:is>
          <x:t xml:space="preserve">Design a home recording/production workflow for my current gear.</x:t>
        </x:is>
      </x:c>
      <x:c r="H247" s="6" t="n">
        <x:v>48</x:v>
      </x:c>
      <x:c r="I247" s="6" t="n">
        <x:v>48</x:v>
      </x:c>
      <x:c r="J247" s="7" t="n">
        <x:v>62</x:v>
      </x:c>
      <x:c r="K247" s="7" t="n">
        <x:v>54</x:v>
      </x:c>
      <x:c r="L247" s="8" t="inlineStr">
        <x:is>
          <x:t xml:space="preserve">UNTESTED</x:t>
        </x:is>
      </x:c>
      <x:c r="M247" s="9" t="inlineStr">
        <x:is>
          <x:t xml:space="preserve">UNTESTED</x:t>
        </x:is>
      </x:c>
      <x:c r="N247" s="5" t="inlineStr">
        <x:is>
          <x:t xml:space="preserve">theory help; composition support; practice coaching; audio workflow planning</x:t>
        </x:is>
      </x:c>
      <x:c r="O247" s="5" t="inlineStr">
        <x:is>
          <x:t xml:space="preserve">Low</x:t>
        </x:is>
      </x:c>
      <x:c r="P247" s="5" t="inlineStr">
        <x:is>
          <x:t xml:space="preserve">Medium</x:t>
        </x:is>
      </x:c>
      <x:c r="Q247" s="5" t="inlineStr">
        <x:is>
          <x:t xml:space="preserve">Medium</x:t>
        </x:is>
      </x:c>
      <x:c r="R247" s="5" t="inlineStr">
        <x:is>
          <x:t xml:space="preserve">Low</x:t>
        </x:is>
      </x:c>
      <x:c r="S247" s="5" t="inlineStr">
        <x:is>
          <x:t xml:space="preserve">Medium</x:t>
        </x:is>
      </x:c>
      <x:c r="T247" s="5" t="inlineStr">
        <x:is>
          <x:t xml:space="preserve">ChatGPT/Claude planning + external music tools</x:t>
        </x:is>
      </x:c>
      <x:c r="U247" s="5" t="inlineStr">
        <x:is>
          <x:t xml:space="preserve">Medium</x:t>
        </x:is>
      </x:c>
      <x:c r="V247" s="10" t="n">
        <x:v>2</x:v>
      </x:c>
      <x:c r="W247" s="5" t="inlineStr">
        <x:is>
          <x:t xml:space="preserve">Creative coaching + workflow review</x:t>
        </x:is>
      </x:c>
      <x:c r="X247" s="5" t="inlineStr">
        <x:is>
          <x:t xml:space="preserve">practice plan / composition guide / arrangement brief</x:t>
        </x:is>
      </x:c>
      <x:c r="Y247" s="5" t="inlineStr">
        <x:is>
          <x:t xml:space="preserve">Output helps create or learn music in a concrete, musically coherent way.</x:t>
        </x:is>
      </x:c>
      <x:c r="Z247" s="5" t="inlineStr">
        <x:is>
          <x:t xml:space="preserve">Musically weak suggestions, generic advice, or no usable next step.</x:t>
        </x:is>
      </x:c>
      <x:c r="AA247" s="5" t="inlineStr">
        <x:is>
          <x:t xml:space="preserve">music mode / external tool routing / structured lesson outputs</x:t>
        </x:is>
      </x:c>
      <x:c r="AB247" s="5" t="inlineStr">
        <x:is>
          <x:t xml:space="preserve"/>
        </x:is>
      </x:c>
      <x:c r="AC247" s="5" t="inlineStr">
        <x:is>
          <x:t xml:space="preserve">Music-maker surveys show strong AI usage in parts of workflow, but full-song generation is less appealing; consumer trust remains mixed.</x:t>
        </x:is>
      </x:c>
      <x:c r="AD247" s="5" t="inlineStr">
        <x:is>
          <x:t xml:space="preserve">LANDR study 2025; PRS for Music 2026; Bain media survey 2025</x:t>
        </x:is>
      </x:c>
      <x:c r="AE247" s="11">
        <x:f>IF(O247="High",20,IF(O247="Medium",10,IF(O247="Low",5,0)))+IF(P247="High",20,IF(P247="Medium",10,IF(P247="Low",5,0)))+IF(Q247="High",20,IF(Q247="Medium",10,IF(Q247="Low",5,0)))+IF(R247="High",20,IF(R247="Medium",10,IF(R247="Low",5,0)))+IF(S247="High",20,IF(S247="Medium",10,IF(S247="Low",5,0)))</x:f>
        <x:v>40</x:v>
      </x:c>
      <x:c r="AF247" s="12">
        <x:f>ROUND(H247*0.30+J247*0.25+K247*0.20+(100-AE247)*0.10+(100-(V247*20))*0.15,0)</x:f>
        <x:v>56</x:v>
      </x:c>
      <x:c r="AG247" s="13" t="str">
        <x:f>IF(AF247&gt;=80,"Batch 1",IF(AF247&gt;=70,"Batch 2",IF(AF247&gt;=60,"Batch 3","Backlog")))</x:f>
        <x:v>Backlog</x:v>
      </x:c>
      <x:c r="AH247" t="inlineStr">
        <x:is>
          <x:t xml:space="preserve"/>
        </x:is>
      </x:c>
    </x:row>
    <x:row r="248">
      <x:c r="A248" s="5" t="inlineStr">
        <x:is>
          <x:t xml:space="preserve">GPO-CAR-18</x:t>
        </x:is>
      </x:c>
      <x:c r="B248" s="5" t="n">
        <x:v>244</x:v>
      </x:c>
      <x:c r="C248" s="5" t="inlineStr">
        <x:is>
          <x:t xml:space="preserve">Career &amp; Job Search</x:t>
        </x:is>
      </x:c>
      <x:c r="D248" s="5" t="inlineStr">
        <x:is>
          <x:t xml:space="preserve">Advance</x:t>
        </x:is>
      </x:c>
      <x:c r="E248" s="5" t="inlineStr">
        <x:is>
          <x:t xml:space="preserve">Expansion 150</x:t>
        </x:is>
      </x:c>
      <x:c r="F248" s="5" t="n">
        <x:v>18</x:v>
      </x:c>
      <x:c r="G248" s="5" t="inlineStr">
        <x:is>
          <x:t xml:space="preserve">Create interview stories using STAR that don’t sound robotic.</x:t>
        </x:is>
      </x:c>
      <x:c r="H248" s="6" t="n">
        <x:v>42</x:v>
      </x:c>
      <x:c r="I248" s="6" t="n">
        <x:v>42</x:v>
      </x:c>
      <x:c r="J248" s="7" t="n">
        <x:v>70</x:v>
      </x:c>
      <x:c r="K248" s="7" t="n">
        <x:v>55</x:v>
      </x:c>
      <x:c r="L248" s="8" t="inlineStr">
        <x:is>
          <x:t xml:space="preserve">UNTESTED</x:t>
        </x:is>
      </x:c>
      <x:c r="M248" s="9" t="inlineStr">
        <x:is>
          <x:t xml:space="preserve">UNTESTED</x:t>
        </x:is>
      </x:c>
      <x:c r="N248" s="5" t="inlineStr">
        <x:is>
          <x:t xml:space="preserve">resume tailoring; interview prep; role mapping; narrative building</x:t>
        </x:is>
      </x:c>
      <x:c r="O248" s="5" t="inlineStr">
        <x:is>
          <x:t xml:space="preserve">Medium</x:t>
        </x:is>
      </x:c>
      <x:c r="P248" s="5" t="inlineStr">
        <x:is>
          <x:t xml:space="preserve">High</x:t>
        </x:is>
      </x:c>
      <x:c r="Q248" s="5" t="inlineStr">
        <x:is>
          <x:t xml:space="preserve">Low</x:t>
        </x:is>
      </x:c>
      <x:c r="R248" s="5" t="inlineStr">
        <x:is>
          <x:t xml:space="preserve">Low</x:t>
        </x:is>
      </x:c>
      <x:c r="S248" s="5" t="inlineStr">
        <x:is>
          <x:t xml:space="preserve">Low</x:t>
        </x:is>
      </x:c>
      <x:c r="T248" s="5" t="inlineStr">
        <x:is>
          <x:t xml:space="preserve">ChatGPT primary</x:t>
        </x:is>
      </x:c>
      <x:c r="U248" s="5" t="inlineStr">
        <x:is>
          <x:t xml:space="preserve">Easy</x:t>
        </x:is>
      </x:c>
      <x:c r="V248" s="10" t="n">
        <x:v>1</x:v>
      </x:c>
      <x:c r="W248" s="5" t="inlineStr">
        <x:is>
          <x:t xml:space="preserve">Artifact review + mock interview + targeting review</x:t>
        </x:is>
      </x:c>
      <x:c r="X248" s="5" t="inlineStr">
        <x:is>
          <x:t xml:space="preserve">resume / prep plan / outreach / strategy memo</x:t>
        </x:is>
      </x:c>
      <x:c r="Y248" s="5" t="inlineStr">
        <x:is>
          <x:t xml:space="preserve">Career outputs are specific, credible, and materially improve positioning.</x:t>
        </x:is>
      </x:c>
      <x:c r="Z248" s="5" t="inlineStr">
        <x:is>
          <x:t xml:space="preserve">Generic resume language, fake-sounding stories, or weak role fit.</x:t>
        </x:is>
      </x:c>
      <x:c r="AA248" s="5" t="inlineStr">
        <x:is>
          <x:t xml:space="preserve">career templates / memory / ATS-aware output logic</x:t>
        </x:is>
      </x:c>
      <x:c r="AB248" s="5" t="inlineStr">
        <x:is>
          <x:t xml:space="preserve"/>
        </x:is>
      </x:c>
      <x:c r="AC248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48" s="5" t="inlineStr">
        <x:is>
          <x:t xml:space="preserve">Insight Global AI in Hiring Report 2025; NACE student survey 2025/2026</x:t>
        </x:is>
      </x:c>
      <x:c r="AE248" s="11">
        <x:f>IF(O248="High",20,IF(O248="Medium",10,IF(O248="Low",5,0)))+IF(P248="High",20,IF(P248="Medium",10,IF(P248="Low",5,0)))+IF(Q248="High",20,IF(Q248="Medium",10,IF(Q248="Low",5,0)))+IF(R248="High",20,IF(R248="Medium",10,IF(R248="Low",5,0)))+IF(S248="High",20,IF(S248="Medium",10,IF(S248="Low",5,0)))</x:f>
        <x:v>45</x:v>
      </x:c>
      <x:c r="AF248" s="12">
        <x:f>ROUND(H248*0.30+J248*0.25+K248*0.20+(100-AE248)*0.10+(100-(V248*20))*0.15,0)</x:f>
        <x:v>59</x:v>
      </x:c>
      <x:c r="AG248" s="13" t="str">
        <x:f>IF(AF248&gt;=80,"Batch 1",IF(AF248&gt;=70,"Batch 2",IF(AF248&gt;=60,"Batch 3","Backlog")))</x:f>
        <x:v>Backlog</x:v>
      </x:c>
      <x:c r="AH248" t="inlineStr">
        <x:is>
          <x:t xml:space="preserve"/>
        </x:is>
      </x:c>
    </x:row>
    <x:row r="249">
      <x:c r="A249" s="5" t="inlineStr">
        <x:is>
          <x:t xml:space="preserve">GPO-SCR-13</x:t>
        </x:is>
      </x:c>
      <x:c r="B249" s="5" t="n">
        <x:v>245</x:v>
      </x:c>
      <x:c r="C249" s="5" t="inlineStr">
        <x:is>
          <x:t xml:space="preserve">Screenwriting &amp; Story Development</x:t>
        </x:is>
      </x:c>
      <x:c r="D249" s="5" t="inlineStr">
        <x:is>
          <x:t xml:space="preserve">Create</x:t>
        </x:is>
      </x:c>
      <x:c r="E249" s="5" t="inlineStr">
        <x:is>
          <x:t xml:space="preserve">Expansion 150</x:t>
        </x:is>
      </x:c>
      <x:c r="F249" s="5" t="n">
        <x:v>13</x:v>
      </x:c>
      <x:c r="G249" s="5" t="inlineStr">
        <x:is>
          <x:t xml:space="preserve">Analyze why this script feels flat and tell me what’s missing.</x:t>
        </x:is>
      </x:c>
      <x:c r="H249" s="6" t="n">
        <x:v>44</x:v>
      </x:c>
      <x:c r="I249" s="6" t="n">
        <x:v>44</x:v>
      </x:c>
      <x:c r="J249" s="7" t="n">
        <x:v>67</x:v>
      </x:c>
      <x:c r="K249" s="7" t="n">
        <x:v>54</x:v>
      </x:c>
      <x:c r="L249" s="8" t="inlineStr">
        <x:is>
          <x:t xml:space="preserve">UNTESTED</x:t>
        </x:is>
      </x:c>
      <x:c r="M249" s="9" t="inlineStr">
        <x:is>
          <x:t xml:space="preserve">UNTESTED</x:t>
        </x:is>
      </x:c>
      <x:c r="N249" s="5" t="inlineStr">
        <x:is>
          <x:t xml:space="preserve">creative ideation; story structure; tone control; character design</x:t>
        </x:is>
      </x:c>
      <x:c r="O249" s="5" t="inlineStr">
        <x:is>
          <x:t xml:space="preserve">Low</x:t>
        </x:is>
      </x:c>
      <x:c r="P249" s="5" t="inlineStr">
        <x:is>
          <x:t xml:space="preserve">Medium</x:t>
        </x:is>
      </x:c>
      <x:c r="Q249" s="5" t="inlineStr">
        <x:is>
          <x:t xml:space="preserve">Low</x:t>
        </x:is>
      </x:c>
      <x:c r="R249" s="5" t="inlineStr">
        <x:is>
          <x:t xml:space="preserve">Low</x:t>
        </x:is>
      </x:c>
      <x:c r="S249" s="5" t="inlineStr">
        <x:is>
          <x:t xml:space="preserve">Low</x:t>
        </x:is>
      </x:c>
      <x:c r="T249" s="5" t="inlineStr">
        <x:is>
          <x:t xml:space="preserve">ChatGPT or Claude creative mode</x:t>
        </x:is>
      </x:c>
      <x:c r="U249" s="5" t="inlineStr">
        <x:is>
          <x:t xml:space="preserve">Easy</x:t>
        </x:is>
      </x:c>
      <x:c r="V249" s="10" t="n">
        <x:v>1</x:v>
      </x:c>
      <x:c r="W249" s="5" t="inlineStr">
        <x:is>
          <x:t xml:space="preserve">Creative prompt run + human taste review</x:t>
        </x:is>
      </x:c>
      <x:c r="X249" s="5" t="inlineStr">
        <x:is>
          <x:t xml:space="preserve">logline / outline / scene rewrite / treatment</x:t>
        </x:is>
      </x:c>
      <x:c r="Y249" s="5" t="inlineStr">
        <x:is>
          <x:t xml:space="preserve">Story work feels coherent, original, and emotionally alive.</x:t>
        </x:is>
      </x:c>
      <x:c r="Z249" s="5" t="inlineStr">
        <x:is>
          <x:t xml:space="preserve">Cliche ideas, flat dialogue, weak stakes, or no tonal discipline.</x:t>
        </x:is>
      </x:c>
      <x:c r="AA249" s="5" t="inlineStr">
        <x:is>
          <x:t xml:space="preserve">creative mode / style packs / development workflow</x:t>
        </x:is>
      </x:c>
      <x:c r="AB249" s="5" t="inlineStr">
        <x:is>
          <x:t xml:space="preserve"/>
        </x:is>
      </x:c>
      <x:c r="AC249" s="5" t="inlineStr">
        <x:is>
          <x:t xml:space="preserve">OpenAI practical guidance includes creative ideation; creator surveys show broad use of generative AI in creative workflows.</x:t>
        </x:is>
      </x:c>
      <x:c r="AD249" s="5" t="inlineStr">
        <x:is>
          <x:t xml:space="preserve">OpenAI How People Use ChatGPT paper; Adobe creators survey 2025; Wondercraft/Digiday creator workflow survey 2025</x:t>
        </x:is>
      </x:c>
      <x:c r="AE249" s="11">
        <x:f>IF(O249="High",20,IF(O249="Medium",10,IF(O249="Low",5,0)))+IF(P249="High",20,IF(P249="Medium",10,IF(P249="Low",5,0)))+IF(Q249="High",20,IF(Q249="Medium",10,IF(Q249="Low",5,0)))+IF(R249="High",20,IF(R249="Medium",10,IF(R249="Low",5,0)))+IF(S249="High",20,IF(S249="Medium",10,IF(S249="Low",5,0)))</x:f>
        <x:v>30</x:v>
      </x:c>
      <x:c r="AF249" s="12">
        <x:f>ROUND(H249*0.30+J249*0.25+K249*0.20+(100-AE249)*0.10+(100-(V249*20))*0.15,0)</x:f>
        <x:v>60</x:v>
      </x:c>
      <x:c r="AG249" s="13" t="str">
        <x:f>IF(AF249&gt;=80,"Batch 1",IF(AF249&gt;=70,"Batch 2",IF(AF249&gt;=60,"Batch 3","Backlog")))</x:f>
        <x:v>Batch 3</x:v>
      </x:c>
      <x:c r="AH249" t="inlineStr">
        <x:is>
          <x:t xml:space="preserve"/>
        </x:is>
      </x:c>
    </x:row>
    <x:row r="250">
      <x:c r="A250" s="5" t="inlineStr">
        <x:is>
          <x:t xml:space="preserve">GPO-TRA-20</x:t>
        </x:is>
      </x:c>
      <x:c r="B250" s="5" t="n">
        <x:v>246</x:v>
      </x:c>
      <x:c r="C250" s="5" t="inlineStr">
        <x:is>
          <x:t xml:space="preserve">Travel &amp; Relocation Planner</x:t>
        </x:is>
      </x:c>
      <x:c r="D250" s="5" t="inlineStr">
        <x:is>
          <x:t xml:space="preserve">Move</x:t>
        </x:is>
      </x:c>
      <x:c r="E250" s="5" t="inlineStr">
        <x:is>
          <x:t xml:space="preserve">Expansion 150</x:t>
        </x:is>
      </x:c>
      <x:c r="F250" s="5" t="n">
        <x:v>20</x:v>
      </x:c>
      <x:c r="G250" s="5" t="inlineStr">
        <x:is>
          <x:t xml:space="preserve">Give me a brutally efficient weekend trip plan from my city.</x:t>
        </x:is>
      </x:c>
      <x:c r="H250" s="6" t="n">
        <x:v>43</x:v>
      </x:c>
      <x:c r="I250" s="6" t="n">
        <x:v>43</x:v>
      </x:c>
      <x:c r="J250" s="7" t="n">
        <x:v>68</x:v>
      </x:c>
      <x:c r="K250" s="7" t="n">
        <x:v>54</x:v>
      </x:c>
      <x:c r="L250" s="8" t="inlineStr">
        <x:is>
          <x:t xml:space="preserve">UNTESTED</x:t>
        </x:is>
      </x:c>
      <x:c r="M250" s="9" t="inlineStr">
        <x:is>
          <x:t xml:space="preserve">UNTESTED</x:t>
        </x:is>
      </x:c>
      <x:c r="N250" s="5" t="inlineStr">
        <x:is>
          <x:t xml:space="preserve">travel research; itinerary planning; logistics reasoning; contingency planning</x:t>
        </x:is>
      </x:c>
      <x:c r="O250" s="5" t="inlineStr">
        <x:is>
          <x:t xml:space="preserve">High</x:t>
        </x:is>
      </x:c>
      <x:c r="P250" s="5" t="inlineStr">
        <x:is>
          <x:t xml:space="preserve">Medium</x:t>
        </x:is>
      </x:c>
      <x:c r="Q250" s="5" t="inlineStr">
        <x:is>
          <x:t xml:space="preserve">Medium</x:t>
        </x:is>
      </x:c>
      <x:c r="R250" s="5" t="inlineStr">
        <x:is>
          <x:t xml:space="preserve">Low</x:t>
        </x:is>
      </x:c>
      <x:c r="S250" s="5" t="inlineStr">
        <x:is>
          <x:t xml:space="preserve">Low</x:t>
        </x:is>
      </x:c>
      <x:c r="T250" s="5" t="inlineStr">
        <x:is>
          <x:t xml:space="preserve">ChatGPT with web; maps/calendar later</x:t>
        </x:is>
      </x:c>
      <x:c r="U250" s="5" t="inlineStr">
        <x:is>
          <x:t xml:space="preserve">Medium</x:t>
        </x:is>
      </x:c>
      <x:c r="V250" s="10" t="n">
        <x:v>2</x:v>
      </x:c>
      <x:c r="W250" s="5" t="inlineStr">
        <x:is>
          <x:t xml:space="preserve">Live trip planning + feasibility review</x:t>
        </x:is>
      </x:c>
      <x:c r="X250" s="5" t="inlineStr">
        <x:is>
          <x:t xml:space="preserve">itinerary / relocation plan / checklist</x:t>
        </x:is>
      </x:c>
      <x:c r="Y250" s="5" t="inlineStr">
        <x:is>
          <x:t xml:space="preserve">Plan is current, geographically sensible, and tuned to budget/constraints.</x:t>
        </x:is>
      </x:c>
      <x:c r="Z250" s="5" t="inlineStr">
        <x:is>
          <x:t xml:space="preserve">Bad logistics, stale info, wrong timing, or generic travel advice.</x:t>
        </x:is>
      </x:c>
      <x:c r="AA250" s="5" t="inlineStr">
        <x:is>
          <x:t xml:space="preserve">travel templates / web + mapping integration / logistics engine</x:t>
        </x:is>
      </x:c>
      <x:c r="AB250" s="5" t="inlineStr">
        <x:is>
          <x:t xml:space="preserve"/>
        </x:is>
      </x:c>
      <x:c r="AC250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50" s="5" t="inlineStr">
        <x:is>
          <x:t xml:space="preserve">Deloitte Connected Consumer 2025; Adobe travel planning 2025</x:t>
        </x:is>
      </x:c>
      <x:c r="AE250" s="11">
        <x:f>IF(O250="High",20,IF(O250="Medium",10,IF(O250="Low",5,0)))+IF(P250="High",20,IF(P250="Medium",10,IF(P250="Low",5,0)))+IF(Q250="High",20,IF(Q250="Medium",10,IF(Q250="Low",5,0)))+IF(R250="High",20,IF(R250="Medium",10,IF(R250="Low",5,0)))+IF(S250="High",20,IF(S250="Medium",10,IF(S250="Low",5,0)))</x:f>
        <x:v>50</x:v>
      </x:c>
      <x:c r="AF250" s="12">
        <x:f>ROUND(H250*0.30+J250*0.25+K250*0.20+(100-AE250)*0.10+(100-(V250*20))*0.15,0)</x:f>
        <x:v>55</x:v>
      </x:c>
      <x:c r="AG250" s="13" t="str">
        <x:f>IF(AF250&gt;=80,"Batch 1",IF(AF250&gt;=70,"Batch 2",IF(AF250&gt;=60,"Batch 3","Backlog")))</x:f>
        <x:v>Backlog</x:v>
      </x:c>
      <x:c r="AH250" t="inlineStr">
        <x:is>
          <x:t xml:space="preserve"/>
        </x:is>
      </x:c>
    </x:row>
    <x:row r="251">
      <x:c r="A251" s="5" t="inlineStr">
        <x:is>
          <x:t xml:space="preserve">GPO-FIL-05</x:t>
        </x:is>
      </x:c>
      <x:c r="B251" s="5" t="n">
        <x:v>247</x:v>
      </x:c>
      <x:c r="C251" s="5" t="inlineStr">
        <x:is>
          <x:t xml:space="preserve">Filmmaking &amp; Video Production</x:t>
        </x:is>
      </x:c>
      <x:c r="D251" s="5" t="inlineStr">
        <x:is>
          <x:t xml:space="preserve">Create</x:t>
        </x:is>
      </x:c>
      <x:c r="E251" s="5" t="inlineStr">
        <x:is>
          <x:t xml:space="preserve">Core 150</x:t>
        </x:is>
      </x:c>
      <x:c r="F251" s="5" t="n">
        <x:v>5</x:v>
      </x:c>
      <x:c r="G251" s="5" t="inlineStr">
        <x:is>
          <x:t xml:space="preserve">Help me plan voice, music, edit, VFX, and continuity for an AI film.</x:t>
        </x:is>
      </x:c>
      <x:c r="H251" s="6" t="n">
        <x:v>52</x:v>
      </x:c>
      <x:c r="I251" s="6" t="n">
        <x:v>52</x:v>
      </x:c>
      <x:c r="J251" s="7" t="n">
        <x:v>55</x:v>
      </x:c>
      <x:c r="K251" s="7" t="n">
        <x:v>53</x:v>
      </x:c>
      <x:c r="L251" s="8" t="inlineStr">
        <x:is>
          <x:t xml:space="preserve">UNTESTED</x:t>
        </x:is>
      </x:c>
      <x:c r="M251" s="9" t="inlineStr">
        <x:is>
          <x:t xml:space="preserve">UNTESTED</x:t>
        </x:is>
      </x:c>
      <x:c r="N251" s="5" t="inlineStr">
        <x:is>
          <x:t xml:space="preserve">shot planning; multimodal coordination; tool routing; production workflow</x:t>
        </x:is>
      </x:c>
      <x:c r="O251" s="5" t="inlineStr">
        <x:is>
          <x:t xml:space="preserve">Low</x:t>
        </x:is>
      </x:c>
      <x:c r="P251" s="5" t="inlineStr">
        <x:is>
          <x:t xml:space="preserve">Medium</x:t>
        </x:is>
      </x:c>
      <x:c r="Q251" s="5" t="inlineStr">
        <x:is>
          <x:t xml:space="preserve">High</x:t>
        </x:is>
      </x:c>
      <x:c r="R251" s="5" t="inlineStr">
        <x:is>
          <x:t xml:space="preserve">High</x:t>
        </x:is>
      </x:c>
      <x:c r="S251" s="5" t="inlineStr">
        <x:is>
          <x:t xml:space="preserve">Medium</x:t>
        </x:is>
      </x:c>
      <x:c r="T251" s="5" t="inlineStr">
        <x:is>
          <x:t xml:space="preserve">Claude planning + external video/image tools</x:t>
        </x:is>
      </x:c>
      <x:c r="U251" s="5" t="inlineStr">
        <x:is>
          <x:t xml:space="preserve">Hard</x:t>
        </x:is>
      </x:c>
      <x:c r="V251" s="10" t="n">
        <x:v>3</x:v>
      </x:c>
      <x:c r="W251" s="5" t="inlineStr">
        <x:is>
          <x:t xml:space="preserve">Workflow plan + asset chain review</x:t>
        </x:is>
      </x:c>
      <x:c r="X251" s="5" t="inlineStr">
        <x:is>
          <x:t xml:space="preserve">shot list / storyboard / production workflow / tool stack recommendation</x:t>
        </x:is>
      </x:c>
      <x:c r="Y251" s="5" t="inlineStr">
        <x:is>
          <x:t xml:space="preserve">Workflow is executable with current tools and preserves consistency across assets.</x:t>
        </x:is>
      </x:c>
      <x:c r="Z251" s="5" t="inlineStr">
        <x:is>
          <x:t xml:space="preserve">Ignores tool limits, no consistency strategy, or vague production logic.</x:t>
        </x:is>
      </x:c>
      <x:c r="AA251" s="5" t="inlineStr">
        <x:is>
          <x:t xml:space="preserve">multimodal orchestration / provider routing / asset schema</x:t>
        </x:is>
      </x:c>
      <x:c r="AB251" s="5" t="inlineStr">
        <x:is>
          <x:t xml:space="preserve"/>
        </x:is>
      </x:c>
      <x:c r="AC251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51" s="5" t="inlineStr">
        <x:is>
          <x:t xml:space="preserve">Wondercraft/Digiday creator workflow survey 2025; Artificial Analysis generative media survey 2025; Reuters/Canal+ 2026</x:t>
        </x:is>
      </x:c>
      <x:c r="AE251" s="11">
        <x:f>IF(O251="High",20,IF(O251="Medium",10,IF(O251="Low",5,0)))+IF(P251="High",20,IF(P251="Medium",10,IF(P251="Low",5,0)))+IF(Q251="High",20,IF(Q251="Medium",10,IF(Q251="Low",5,0)))+IF(R251="High",20,IF(R251="Medium",10,IF(R251="Low",5,0)))+IF(S251="High",20,IF(S251="Medium",10,IF(S251="Low",5,0)))</x:f>
        <x:v>65</x:v>
      </x:c>
      <x:c r="AF251" s="12">
        <x:f>ROUND(H251*0.30+J251*0.25+K251*0.20+(100-AE251)*0.10+(100-(V251*20))*0.15,0)</x:f>
        <x:v>49</x:v>
      </x:c>
      <x:c r="AG251" s="13" t="str">
        <x:f>IF(AF251&gt;=80,"Batch 1",IF(AF251&gt;=70,"Batch 2",IF(AF251&gt;=60,"Batch 3","Backlog")))</x:f>
        <x:v>Backlog</x:v>
      </x:c>
      <x:c r="AH251" t="inlineStr">
        <x:is>
          <x:t xml:space="preserve"/>
        </x:is>
      </x:c>
    </x:row>
    <x:row r="252">
      <x:c r="A252" s="5" t="inlineStr">
        <x:is>
          <x:t xml:space="preserve">GPO-STA-18</x:t>
        </x:is>
      </x:c>
      <x:c r="B252" s="5" t="n">
        <x:v>248</x:v>
      </x:c>
      <x:c r="C252" s="5" t="inlineStr">
        <x:is>
          <x:t xml:space="preserve">Startup &amp; Business Builder</x:t>
        </x:is>
      </x:c>
      <x:c r="D252" s="5" t="inlineStr">
        <x:is>
          <x:t xml:space="preserve">Build</x:t>
        </x:is>
      </x:c>
      <x:c r="E252" s="5" t="inlineStr">
        <x:is>
          <x:t xml:space="preserve">Expansion 150</x:t>
        </x:is>
      </x:c>
      <x:c r="F252" s="5" t="n">
        <x:v>18</x:v>
      </x:c>
      <x:c r="G252" s="5" t="inlineStr">
        <x:is>
          <x:t xml:space="preserve">Analyze whether AI actually adds defensible value here or just novelty.</x:t>
        </x:is>
      </x:c>
      <x:c r="H252" s="6" t="n">
        <x:v>44</x:v>
      </x:c>
      <x:c r="I252" s="6" t="n">
        <x:v>44</x:v>
      </x:c>
      <x:c r="J252" s="7" t="n">
        <x:v>66</x:v>
      </x:c>
      <x:c r="K252" s="7" t="n">
        <x:v>54</x:v>
      </x:c>
      <x:c r="L252" s="8" t="inlineStr">
        <x:is>
          <x:t xml:space="preserve">UNTESTED</x:t>
        </x:is>
      </x:c>
      <x:c r="M252" s="9" t="inlineStr">
        <x:is>
          <x:t xml:space="preserve">UNTESTED</x:t>
        </x:is>
      </x:c>
      <x:c r="N252" s="5" t="inlineStr">
        <x:is>
          <x:t xml:space="preserve">strategy; product thinking; GTM reasoning; structured planning</x:t>
        </x:is>
      </x:c>
      <x:c r="O252" s="5" t="inlineStr">
        <x:is>
          <x:t xml:space="preserve">Medium</x:t>
        </x:is>
      </x:c>
      <x:c r="P252" s="5" t="inlineStr">
        <x:is>
          <x:t xml:space="preserve">High</x:t>
        </x:is>
      </x:c>
      <x:c r="Q252" s="5" t="inlineStr">
        <x:is>
          <x:t xml:space="preserve">Low</x:t>
        </x:is>
      </x:c>
      <x:c r="R252" s="5" t="inlineStr">
        <x:is>
          <x:t xml:space="preserve">Medium</x:t>
        </x:is>
      </x:c>
      <x:c r="S252" s="5" t="inlineStr">
        <x:is>
          <x:t xml:space="preserve">Low</x:t>
        </x:is>
      </x:c>
      <x:c r="T252" s="5" t="inlineStr">
        <x:is>
          <x:t xml:space="preserve">Claude + ChatGPT combo</x:t>
        </x:is>
      </x:c>
      <x:c r="U252" s="5" t="inlineStr">
        <x:is>
          <x:t xml:space="preserve">Medium</x:t>
        </x:is>
      </x:c>
      <x:c r="V252" s="10" t="n">
        <x:v>2</x:v>
      </x:c>
      <x:c r="W252" s="5" t="inlineStr">
        <x:is>
          <x:t xml:space="preserve">Plan generation + critique + strategic review</x:t>
        </x:is>
      </x:c>
      <x:c r="X252" s="5" t="inlineStr">
        <x:is>
          <x:t xml:space="preserve">roadmap / GTM plan / business memo</x:t>
        </x:is>
      </x:c>
      <x:c r="Y252" s="5" t="inlineStr">
        <x:is>
          <x:t xml:space="preserve">Recommendation is strategically sharp, prioritized, and grounded in market reality.</x:t>
        </x:is>
      </x:c>
      <x:c r="Z252" s="5" t="inlineStr">
        <x:is>
          <x:t xml:space="preserve">Buzzwordy output, no wedge, weak prioritization, or unearned confidence.</x:t>
        </x:is>
      </x:c>
      <x:c r="AA252" s="5" t="inlineStr">
        <x:is>
          <x:t xml:space="preserve">strategy templates / board logic / critique loop</x:t>
        </x:is>
      </x:c>
      <x:c r="AB252" s="5" t="inlineStr">
        <x:is>
          <x:t xml:space="preserve"/>
        </x:is>
      </x:c>
      <x:c r="AC252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52" s="5" t="inlineStr">
        <x:is>
          <x:t xml:space="preserve">OpenAI How People Use ChatGPT paper; Menlo State of Consumer AI 2025; Menlo AI UI Problem 2025</x:t>
        </x:is>
      </x:c>
      <x:c r="AE252" s="11">
        <x:f>IF(O252="High",20,IF(O252="Medium",10,IF(O252="Low",5,0)))+IF(P252="High",20,IF(P252="Medium",10,IF(P252="Low",5,0)))+IF(Q252="High",20,IF(Q252="Medium",10,IF(Q252="Low",5,0)))+IF(R252="High",20,IF(R252="Medium",10,IF(R252="Low",5,0)))+IF(S252="High",20,IF(S252="Medium",10,IF(S252="Low",5,0)))</x:f>
        <x:v>50</x:v>
      </x:c>
      <x:c r="AF252" s="12">
        <x:f>ROUND(H252*0.30+J252*0.25+K252*0.20+(100-AE252)*0.10+(100-(V252*20))*0.15,0)</x:f>
        <x:v>55</x:v>
      </x:c>
      <x:c r="AG252" s="13" t="str">
        <x:f>IF(AF252&gt;=80,"Batch 1",IF(AF252&gt;=70,"Batch 2",IF(AF252&gt;=60,"Batch 3","Backlog")))</x:f>
        <x:v>Backlog</x:v>
      </x:c>
      <x:c r="AH252" t="inlineStr">
        <x:is>
          <x:t xml:space="preserve"/>
        </x:is>
      </x:c>
    </x:row>
    <x:row r="253">
      <x:c r="A253" s="5" t="inlineStr">
        <x:is>
          <x:t xml:space="preserve">GPO-HOM-07</x:t>
        </x:is>
      </x:c>
      <x:c r="B253" s="5" t="n">
        <x:v>249</x:v>
      </x:c>
      <x:c r="C253" s="5" t="inlineStr">
        <x:is>
          <x:t xml:space="preserve">Home &amp; Lifestyle Design</x:t>
        </x:is>
      </x:c>
      <x:c r="D253" s="5" t="inlineStr">
        <x:is>
          <x:t xml:space="preserve">Design</x:t>
        </x:is>
      </x:c>
      <x:c r="E253" s="5" t="inlineStr">
        <x:is>
          <x:t xml:space="preserve">Core 150</x:t>
        </x:is>
      </x:c>
      <x:c r="F253" s="5" t="n">
        <x:v>7</x:v>
      </x:c>
      <x:c r="G253" s="5" t="inlineStr">
        <x:is>
          <x:t xml:space="preserve">Design a workspace/studio that improves focus, aesthetics, and ergonomics.</x:t>
        </x:is>
      </x:c>
      <x:c r="H253" s="6" t="n">
        <x:v>42</x:v>
      </x:c>
      <x:c r="I253" s="6" t="n">
        <x:v>42</x:v>
      </x:c>
      <x:c r="J253" s="7" t="n">
        <x:v>69</x:v>
      </x:c>
      <x:c r="K253" s="7" t="n">
        <x:v>54</x:v>
      </x:c>
      <x:c r="L253" s="8" t="inlineStr">
        <x:is>
          <x:t xml:space="preserve">UNTESTED</x:t>
        </x:is>
      </x:c>
      <x:c r="M253" s="9" t="inlineStr">
        <x:is>
          <x:t xml:space="preserve">UNTESTED</x:t>
        </x:is>
      </x:c>
      <x:c r="N253" s="5" t="inlineStr">
        <x:is>
          <x:t xml:space="preserve">space planning; product curation; aesthetic reasoning; phased project planning</x:t>
        </x:is>
      </x:c>
      <x:c r="O253" s="5" t="inlineStr">
        <x:is>
          <x:t xml:space="preserve">Medium</x:t>
        </x:is>
      </x:c>
      <x:c r="P253" s="5" t="inlineStr">
        <x:is>
          <x:t xml:space="preserve">High</x:t>
        </x:is>
      </x:c>
      <x:c r="Q253" s="5" t="inlineStr">
        <x:is>
          <x:t xml:space="preserve">Medium</x:t>
        </x:is>
      </x:c>
      <x:c r="R253" s="5" t="inlineStr">
        <x:is>
          <x:t xml:space="preserve">Low</x:t>
        </x:is>
      </x:c>
      <x:c r="S253" s="5" t="inlineStr">
        <x:is>
          <x:t xml:space="preserve">Low</x:t>
        </x:is>
      </x:c>
      <x:c r="T253" s="5" t="inlineStr">
        <x:is>
          <x:t xml:space="preserve">ChatGPT with web; image/design tools later</x:t>
        </x:is>
      </x:c>
      <x:c r="U253" s="5" t="inlineStr">
        <x:is>
          <x:t xml:space="preserve">Medium</x:t>
        </x:is>
      </x:c>
      <x:c r="V253" s="10" t="n">
        <x:v>2</x:v>
      </x:c>
      <x:c r="W253" s="5" t="inlineStr">
        <x:is>
          <x:t xml:space="preserve">Design brief generation + feasibility review</x:t>
        </x:is>
      </x:c>
      <x:c r="X253" s="5" t="inlineStr">
        <x:is>
          <x:t xml:space="preserve">layout / shopping plan / phased upgrade roadmap</x:t>
        </x:is>
      </x:c>
      <x:c r="Y253" s="5" t="inlineStr">
        <x:is>
          <x:t xml:space="preserve">Design plan feels cohesive, practical, and matched to lifestyle goals.</x:t>
        </x:is>
      </x:c>
      <x:c r="Z253" s="5" t="inlineStr">
        <x:is>
          <x:t xml:space="preserve">Pretty but impractical suggestions, no budget logic, or weak taste alignment.</x:t>
        </x:is>
      </x:c>
      <x:c r="AA253" s="5" t="inlineStr">
        <x:is>
          <x:t xml:space="preserve">design preference memory / shopping integration / image workflow</x:t>
        </x:is>
      </x:c>
      <x:c r="AB253" s="5" t="inlineStr">
        <x:is>
          <x:t xml:space="preserve"/>
        </x:is>
      </x:c>
      <x:c r="AC25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53" s="5" t="inlineStr">
        <x:is>
          <x:t xml:space="preserve">ThinkLab 2025 design benchmark; Houzz 2025 AI in construction &amp; design; Canadian Contractor/Mattoboard survey 2025</x:t>
        </x:is>
      </x:c>
      <x:c r="AE253" s="11">
        <x:f>IF(O253="High",20,IF(O253="Medium",10,IF(O253="Low",5,0)))+IF(P253="High",20,IF(P253="Medium",10,IF(P253="Low",5,0)))+IF(Q253="High",20,IF(Q253="Medium",10,IF(Q253="Low",5,0)))+IF(R253="High",20,IF(R253="Medium",10,IF(R253="Low",5,0)))+IF(S253="High",20,IF(S253="Medium",10,IF(S253="Low",5,0)))</x:f>
        <x:v>50</x:v>
      </x:c>
      <x:c r="AF253" s="12">
        <x:f>ROUND(H253*0.30+J253*0.25+K253*0.20+(100-AE253)*0.10+(100-(V253*20))*0.15,0)</x:f>
        <x:v>55</x:v>
      </x:c>
      <x:c r="AG253" s="13" t="str">
        <x:f>IF(AF253&gt;=80,"Batch 1",IF(AF253&gt;=70,"Batch 2",IF(AF253&gt;=60,"Batch 3","Backlog")))</x:f>
        <x:v>Backlog</x:v>
      </x:c>
      <x:c r="AH253" t="inlineStr">
        <x:is>
          <x:t xml:space="preserve"/>
        </x:is>
      </x:c>
    </x:row>
    <x:row r="254">
      <x:c r="A254" s="5" t="inlineStr">
        <x:is>
          <x:t xml:space="preserve">GPO-SCH-22</x:t>
        </x:is>
      </x:c>
      <x:c r="B254" s="5" t="n">
        <x:v>250</x:v>
      </x:c>
      <x:c r="C254" s="5" t="inlineStr">
        <x:is>
          <x:t xml:space="preserve">Scheduling &amp; Life Operations</x:t>
        </x:is>
      </x:c>
      <x:c r="D254" s="5" t="inlineStr">
        <x:is>
          <x:t xml:space="preserve">Operate</x:t>
        </x:is>
      </x:c>
      <x:c r="E254" s="5" t="inlineStr">
        <x:is>
          <x:t xml:space="preserve">Stretch 60</x:t>
        </x:is>
      </x:c>
      <x:c r="F254" s="5" t="n">
        <x:v>22</x:v>
      </x:c>
      <x:c r="G254" s="5" t="inlineStr">
        <x:is>
          <x:t xml:space="preserve">Build an ops checklist that coordinates calendar, tasks, docs, and follow-ups across multiple projects.</x:t>
        </x:is>
      </x:c>
      <x:c r="H254" s="6" t="n">
        <x:v>43</x:v>
      </x:c>
      <x:c r="I254" s="6" t="n">
        <x:v>43</x:v>
      </x:c>
      <x:c r="J254" s="7" t="n">
        <x:v>67</x:v>
      </x:c>
      <x:c r="K254" s="7" t="n">
        <x:v>54</x:v>
      </x:c>
      <x:c r="L254" s="8" t="inlineStr">
        <x:is>
          <x:t xml:space="preserve">UNTESTED</x:t>
        </x:is>
      </x:c>
      <x:c r="M254" s="9" t="inlineStr">
        <x:is>
          <x:t xml:space="preserve">UNTESTED</x:t>
        </x:is>
      </x:c>
      <x:c r="N254" s="5" t="inlineStr">
        <x:is>
          <x:t xml:space="preserve">task planning; prioritization; calendar reasoning; personal constraints handling</x:t>
        </x:is>
      </x:c>
      <x:c r="O254" s="5" t="inlineStr">
        <x:is>
          <x:t xml:space="preserve">Low</x:t>
        </x:is>
      </x:c>
      <x:c r="P254" s="5" t="inlineStr">
        <x:is>
          <x:t xml:space="preserve">High</x:t>
        </x:is>
      </x:c>
      <x:c r="Q254" s="5" t="inlineStr">
        <x:is>
          <x:t xml:space="preserve">Medium</x:t>
        </x:is>
      </x:c>
      <x:c r="R254" s="5" t="inlineStr">
        <x:is>
          <x:t xml:space="preserve">Low</x:t>
        </x:is>
      </x:c>
      <x:c r="S254" s="5" t="inlineStr">
        <x:is>
          <x:t xml:space="preserve">Low</x:t>
        </x:is>
      </x:c>
      <x:c r="T254" s="5" t="inlineStr">
        <x:is>
          <x:t xml:space="preserve">ChatGPT primary; calendar integrations later</x:t>
        </x:is>
      </x:c>
      <x:c r="U254" s="5" t="inlineStr">
        <x:is>
          <x:t xml:space="preserve">Hard</x:t>
        </x:is>
      </x:c>
      <x:c r="V254" s="10" t="n">
        <x:v>3</x:v>
      </x:c>
      <x:c r="W254" s="5" t="inlineStr">
        <x:is>
          <x:t xml:space="preserve">Scenario-based planning + operator utility review</x:t>
        </x:is>
      </x:c>
      <x:c r="X254" s="5" t="inlineStr">
        <x:is>
          <x:t xml:space="preserve">schedule / checklist / operating plan</x:t>
        </x:is>
      </x:c>
      <x:c r="Y254" s="5" t="inlineStr">
        <x:is>
          <x:t xml:space="preserve">Plan is realistic, prioritized, and executable under stated constraints.</x:t>
        </x:is>
      </x:c>
      <x:c r="Z254" s="5" t="inlineStr">
        <x:is>
          <x:t xml:space="preserve">Overpacked schedule, ignored constraints, or vague next steps.</x:t>
        </x:is>
      </x:c>
      <x:c r="AA254" s="5" t="inlineStr">
        <x:is>
          <x:t xml:space="preserve">planner engine / memory / calendar-tool integration</x:t>
        </x:is>
      </x:c>
      <x:c r="AB254" s="5" t="inlineStr">
        <x:is>
          <x:t xml:space="preserve"/>
        </x:is>
      </x:c>
      <x:c r="AC254" s="5" t="inlineStr">
        <x:is>
          <x:t xml:space="preserve">Menlo consumer AI: 18% use AI to manage to-do lists and 15% to organize notes; Zao-Sanders ranked 'Organise my life' #2.</x:t>
        </x:is>
      </x:c>
      <x:c r="AD254" s="5" t="inlineStr">
        <x:is>
          <x:t xml:space="preserve">Menlo State of Consumer AI 2025; Zao-Sanders Top-100 GenAI Use Cases 2025</x:t>
        </x:is>
      </x:c>
      <x:c r="AE254" s="11">
        <x:f>IF(O254="High",20,IF(O254="Medium",10,IF(O254="Low",5,0)))+IF(P254="High",20,IF(P254="Medium",10,IF(P254="Low",5,0)))+IF(Q254="High",20,IF(Q254="Medium",10,IF(Q254="Low",5,0)))+IF(R254="High",20,IF(R254="Medium",10,IF(R254="Low",5,0)))+IF(S254="High",20,IF(S254="Medium",10,IF(S254="Low",5,0)))</x:f>
        <x:v>45</x:v>
      </x:c>
      <x:c r="AF254" s="12">
        <x:f>ROUND(H254*0.30+J254*0.25+K254*0.20+(100-AE254)*0.10+(100-(V254*20))*0.15,0)</x:f>
        <x:v>52</x:v>
      </x:c>
      <x:c r="AG254" s="13" t="str">
        <x:f>IF(AF254&gt;=80,"Batch 1",IF(AF254&gt;=70,"Batch 2",IF(AF254&gt;=60,"Batch 3","Backlog")))</x:f>
        <x:v>Backlog</x:v>
      </x:c>
      <x:c r="AH254" t="inlineStr">
        <x:is>
          <x:t xml:space="preserve"/>
        </x:is>
      </x:c>
    </x:row>
    <x:row r="255">
      <x:c r="A255" s="5" t="inlineStr">
        <x:is>
          <x:t xml:space="preserve">GPO-SCR-14</x:t>
        </x:is>
      </x:c>
      <x:c r="B255" s="5" t="n">
        <x:v>251</x:v>
      </x:c>
      <x:c r="C255" s="5" t="inlineStr">
        <x:is>
          <x:t xml:space="preserve">Screenwriting &amp; Story Development</x:t>
        </x:is>
      </x:c>
      <x:c r="D255" s="5" t="inlineStr">
        <x:is>
          <x:t xml:space="preserve">Create</x:t>
        </x:is>
      </x:c>
      <x:c r="E255" s="5" t="inlineStr">
        <x:is>
          <x:t xml:space="preserve">Expansion 150</x:t>
        </x:is>
      </x:c>
      <x:c r="F255" s="5" t="n">
        <x:v>14</x:v>
      </x:c>
      <x:c r="G255" s="5" t="inlineStr">
        <x:is>
          <x:t xml:space="preserve">Generate 10 high-concept story premises tailored to my taste and goals.</x:t>
        </x:is>
      </x:c>
      <x:c r="H255" s="6" t="n">
        <x:v>43</x:v>
      </x:c>
      <x:c r="I255" s="6" t="n">
        <x:v>43</x:v>
      </x:c>
      <x:c r="J255" s="7" t="n">
        <x:v>67</x:v>
      </x:c>
      <x:c r="K255" s="7" t="n">
        <x:v>54</x:v>
      </x:c>
      <x:c r="L255" s="8" t="inlineStr">
        <x:is>
          <x:t xml:space="preserve">UNTESTED</x:t>
        </x:is>
      </x:c>
      <x:c r="M255" s="9" t="inlineStr">
        <x:is>
          <x:t xml:space="preserve">UNTESTED</x:t>
        </x:is>
      </x:c>
      <x:c r="N255" s="5" t="inlineStr">
        <x:is>
          <x:t xml:space="preserve">creative ideation; story structure; tone control; character design</x:t>
        </x:is>
      </x:c>
      <x:c r="O255" s="5" t="inlineStr">
        <x:is>
          <x:t xml:space="preserve">Low</x:t>
        </x:is>
      </x:c>
      <x:c r="P255" s="5" t="inlineStr">
        <x:is>
          <x:t xml:space="preserve">Medium</x:t>
        </x:is>
      </x:c>
      <x:c r="Q255" s="5" t="inlineStr">
        <x:is>
          <x:t xml:space="preserve">Low</x:t>
        </x:is>
      </x:c>
      <x:c r="R255" s="5" t="inlineStr">
        <x:is>
          <x:t xml:space="preserve">Low</x:t>
        </x:is>
      </x:c>
      <x:c r="S255" s="5" t="inlineStr">
        <x:is>
          <x:t xml:space="preserve">Low</x:t>
        </x:is>
      </x:c>
      <x:c r="T255" s="5" t="inlineStr">
        <x:is>
          <x:t xml:space="preserve">ChatGPT or Claude creative mode</x:t>
        </x:is>
      </x:c>
      <x:c r="U255" s="5" t="inlineStr">
        <x:is>
          <x:t xml:space="preserve">Easy</x:t>
        </x:is>
      </x:c>
      <x:c r="V255" s="10" t="n">
        <x:v>1</x:v>
      </x:c>
      <x:c r="W255" s="5" t="inlineStr">
        <x:is>
          <x:t xml:space="preserve">Creative prompt run + human taste review</x:t>
        </x:is>
      </x:c>
      <x:c r="X255" s="5" t="inlineStr">
        <x:is>
          <x:t xml:space="preserve">logline / outline / scene rewrite / treatment</x:t>
        </x:is>
      </x:c>
      <x:c r="Y255" s="5" t="inlineStr">
        <x:is>
          <x:t xml:space="preserve">Story work feels coherent, original, and emotionally alive.</x:t>
        </x:is>
      </x:c>
      <x:c r="Z255" s="5" t="inlineStr">
        <x:is>
          <x:t xml:space="preserve">Cliche ideas, flat dialogue, weak stakes, or no tonal discipline.</x:t>
        </x:is>
      </x:c>
      <x:c r="AA255" s="5" t="inlineStr">
        <x:is>
          <x:t xml:space="preserve">creative mode / style packs / development workflow</x:t>
        </x:is>
      </x:c>
      <x:c r="AB255" s="5" t="inlineStr">
        <x:is>
          <x:t xml:space="preserve"/>
        </x:is>
      </x:c>
      <x:c r="AC255" s="5" t="inlineStr">
        <x:is>
          <x:t xml:space="preserve">OpenAI practical guidance includes creative ideation; creator surveys show broad use of generative AI in creative workflows.</x:t>
        </x:is>
      </x:c>
      <x:c r="AD255" s="5" t="inlineStr">
        <x:is>
          <x:t xml:space="preserve">OpenAI How People Use ChatGPT paper; Adobe creators survey 2025; Wondercraft/Digiday creator workflow survey 2025</x:t>
        </x:is>
      </x:c>
      <x:c r="AE255" s="11">
        <x:f>IF(O255="High",20,IF(O255="Medium",10,IF(O255="Low",5,0)))+IF(P255="High",20,IF(P255="Medium",10,IF(P255="Low",5,0)))+IF(Q255="High",20,IF(Q255="Medium",10,IF(Q255="Low",5,0)))+IF(R255="High",20,IF(R255="Medium",10,IF(R255="Low",5,0)))+IF(S255="High",20,IF(S255="Medium",10,IF(S255="Low",5,0)))</x:f>
        <x:v>30</x:v>
      </x:c>
      <x:c r="AF255" s="12">
        <x:f>ROUND(H255*0.30+J255*0.25+K255*0.20+(100-AE255)*0.10+(100-(V255*20))*0.15,0)</x:f>
        <x:v>59</x:v>
      </x:c>
      <x:c r="AG255" s="13" t="str">
        <x:f>IF(AF255&gt;=80,"Batch 1",IF(AF255&gt;=70,"Batch 2",IF(AF255&gt;=60,"Batch 3","Backlog")))</x:f>
        <x:v>Backlog</x:v>
      </x:c>
      <x:c r="AH255" t="inlineStr">
        <x:is>
          <x:t xml:space="preserve"/>
        </x:is>
      </x:c>
    </x:row>
    <x:row r="256">
      <x:c r="A256" s="5" t="inlineStr">
        <x:is>
          <x:t xml:space="preserve">GPO-CAR-19</x:t>
        </x:is>
      </x:c>
      <x:c r="B256" s="5" t="n">
        <x:v>252</x:v>
      </x:c>
      <x:c r="C256" s="5" t="inlineStr">
        <x:is>
          <x:t xml:space="preserve">Career &amp; Job Search</x:t>
        </x:is>
      </x:c>
      <x:c r="D256" s="5" t="inlineStr">
        <x:is>
          <x:t xml:space="preserve">Advance</x:t>
        </x:is>
      </x:c>
      <x:c r="E256" s="5" t="inlineStr">
        <x:is>
          <x:t xml:space="preserve">Expansion 150</x:t>
        </x:is>
      </x:c>
      <x:c r="F256" s="5" t="n">
        <x:v>19</x:v>
      </x:c>
      <x:c r="G256" s="5" t="inlineStr">
        <x:is>
          <x:t xml:space="preserve">Audit my current career strategy and tell me what’s weak.</x:t>
        </x:is>
      </x:c>
      <x:c r="H256" s="6" t="n">
        <x:v>41</x:v>
      </x:c>
      <x:c r="I256" s="6" t="n">
        <x:v>41</x:v>
      </x:c>
      <x:c r="J256" s="7" t="n">
        <x:v>70</x:v>
      </x:c>
      <x:c r="K256" s="7" t="n">
        <x:v>54</x:v>
      </x:c>
      <x:c r="L256" s="8" t="inlineStr">
        <x:is>
          <x:t xml:space="preserve">UNTESTED</x:t>
        </x:is>
      </x:c>
      <x:c r="M256" s="9" t="inlineStr">
        <x:is>
          <x:t xml:space="preserve">UNTESTED</x:t>
        </x:is>
      </x:c>
      <x:c r="N256" s="5" t="inlineStr">
        <x:is>
          <x:t xml:space="preserve">resume tailoring; interview prep; role mapping; narrative building</x:t>
        </x:is>
      </x:c>
      <x:c r="O256" s="5" t="inlineStr">
        <x:is>
          <x:t xml:space="preserve">Medium</x:t>
        </x:is>
      </x:c>
      <x:c r="P256" s="5" t="inlineStr">
        <x:is>
          <x:t xml:space="preserve">High</x:t>
        </x:is>
      </x:c>
      <x:c r="Q256" s="5" t="inlineStr">
        <x:is>
          <x:t xml:space="preserve">Low</x:t>
        </x:is>
      </x:c>
      <x:c r="R256" s="5" t="inlineStr">
        <x:is>
          <x:t xml:space="preserve">Low</x:t>
        </x:is>
      </x:c>
      <x:c r="S256" s="5" t="inlineStr">
        <x:is>
          <x:t xml:space="preserve">Low</x:t>
        </x:is>
      </x:c>
      <x:c r="T256" s="5" t="inlineStr">
        <x:is>
          <x:t xml:space="preserve">ChatGPT primary</x:t>
        </x:is>
      </x:c>
      <x:c r="U256" s="5" t="inlineStr">
        <x:is>
          <x:t xml:space="preserve">Easy</x:t>
        </x:is>
      </x:c>
      <x:c r="V256" s="10" t="n">
        <x:v>1</x:v>
      </x:c>
      <x:c r="W256" s="5" t="inlineStr">
        <x:is>
          <x:t xml:space="preserve">Artifact review + mock interview + targeting review</x:t>
        </x:is>
      </x:c>
      <x:c r="X256" s="5" t="inlineStr">
        <x:is>
          <x:t xml:space="preserve">resume / prep plan / outreach / strategy memo</x:t>
        </x:is>
      </x:c>
      <x:c r="Y256" s="5" t="inlineStr">
        <x:is>
          <x:t xml:space="preserve">Career outputs are specific, credible, and materially improve positioning.</x:t>
        </x:is>
      </x:c>
      <x:c r="Z256" s="5" t="inlineStr">
        <x:is>
          <x:t xml:space="preserve">Generic resume language, fake-sounding stories, or weak role fit.</x:t>
        </x:is>
      </x:c>
      <x:c r="AA256" s="5" t="inlineStr">
        <x:is>
          <x:t xml:space="preserve">career templates / memory / ATS-aware output logic</x:t>
        </x:is>
      </x:c>
      <x:c r="AB256" s="5" t="inlineStr">
        <x:is>
          <x:t xml:space="preserve"/>
        </x:is>
      </x:c>
      <x:c r="AC256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56" s="5" t="inlineStr">
        <x:is>
          <x:t xml:space="preserve">Insight Global AI in Hiring Report 2025; NACE student survey 2025/2026</x:t>
        </x:is>
      </x:c>
      <x:c r="AE256" s="11">
        <x:f>IF(O256="High",20,IF(O256="Medium",10,IF(O256="Low",5,0)))+IF(P256="High",20,IF(P256="Medium",10,IF(P256="Low",5,0)))+IF(Q256="High",20,IF(Q256="Medium",10,IF(Q256="Low",5,0)))+IF(R256="High",20,IF(R256="Medium",10,IF(R256="Low",5,0)))+IF(S256="High",20,IF(S256="Medium",10,IF(S256="Low",5,0)))</x:f>
        <x:v>45</x:v>
      </x:c>
      <x:c r="AF256" s="12">
        <x:f>ROUND(H256*0.30+J256*0.25+K256*0.20+(100-AE256)*0.10+(100-(V256*20))*0.15,0)</x:f>
        <x:v>58</x:v>
      </x:c>
      <x:c r="AG256" s="13" t="str">
        <x:f>IF(AF256&gt;=80,"Batch 1",IF(AF256&gt;=70,"Batch 2",IF(AF256&gt;=60,"Batch 3","Backlog")))</x:f>
        <x:v>Backlog</x:v>
      </x:c>
      <x:c r="AH256" t="inlineStr">
        <x:is>
          <x:t xml:space="preserve"/>
        </x:is>
      </x:c>
    </x:row>
    <x:row r="257">
      <x:c r="A257" s="5" t="inlineStr">
        <x:is>
          <x:t xml:space="preserve">GPO-PER-18</x:t>
        </x:is>
      </x:c>
      <x:c r="B257" s="5" t="n">
        <x:v>253</x:v>
      </x:c>
      <x:c r="C257" s="5" t="inlineStr">
        <x:is>
          <x:t xml:space="preserve">Personal Finance &amp; Investing</x:t>
        </x:is>
      </x:c>
      <x:c r="D257" s="5" t="inlineStr">
        <x:is>
          <x:t xml:space="preserve">Money</x:t>
        </x:is>
      </x:c>
      <x:c r="E257" s="5" t="inlineStr">
        <x:is>
          <x:t xml:space="preserve">Expansion 150</x:t>
        </x:is>
      </x:c>
      <x:c r="F257" s="5" t="n">
        <x:v>18</x:v>
      </x:c>
      <x:c r="G257" s="5" t="inlineStr">
        <x:is>
          <x:t xml:space="preserve">Tell me the minimum income and savings rate I need for my desired lifestyle.</x:t>
        </x:is>
      </x:c>
      <x:c r="H257" s="6" t="n">
        <x:v>45</x:v>
      </x:c>
      <x:c r="I257" s="6" t="n">
        <x:v>45</x:v>
      </x:c>
      <x:c r="J257" s="7" t="n">
        <x:v>64</x:v>
      </x:c>
      <x:c r="K257" s="7" t="n">
        <x:v>54</x:v>
      </x:c>
      <x:c r="L257" s="8" t="inlineStr">
        <x:is>
          <x:t xml:space="preserve">UNTESTED</x:t>
        </x:is>
      </x:c>
      <x:c r="M257" s="9" t="inlineStr">
        <x:is>
          <x:t xml:space="preserve">UNTESTED</x:t>
        </x:is>
      </x:c>
      <x:c r="N257" s="5" t="inlineStr">
        <x:is>
          <x:t xml:space="preserve">scenario modeling; budgeting; portfolio reasoning; decision framing</x:t>
        </x:is>
      </x:c>
      <x:c r="O257" s="5" t="inlineStr">
        <x:is>
          <x:t xml:space="preserve">Medium</x:t>
        </x:is>
      </x:c>
      <x:c r="P257" s="5" t="inlineStr">
        <x:is>
          <x:t xml:space="preserve">High</x:t>
        </x:is>
      </x:c>
      <x:c r="Q257" s="5" t="inlineStr">
        <x:is>
          <x:t xml:space="preserve">Medium</x:t>
        </x:is>
      </x:c>
      <x:c r="R257" s="5" t="inlineStr">
        <x:is>
          <x:t xml:space="preserve">Low</x:t>
        </x:is>
      </x:c>
      <x:c r="S257" s="5" t="inlineStr">
        <x:is>
          <x:t xml:space="preserve">Medium</x:t>
        </x:is>
      </x:c>
      <x:c r="T257" s="5" t="inlineStr">
        <x:is>
          <x:t xml:space="preserve">ChatGPT or Claude with spreadsheet support</x:t>
        </x:is>
      </x:c>
      <x:c r="U257" s="5" t="inlineStr">
        <x:is>
          <x:t xml:space="preserve">Medium</x:t>
        </x:is>
      </x:c>
      <x:c r="V257" s="10" t="n">
        <x:v>2</x:v>
      </x:c>
      <x:c r="W257" s="5" t="inlineStr">
        <x:is>
          <x:t xml:space="preserve">Scenario modeling + coherence review</x:t>
        </x:is>
      </x:c>
      <x:c r="X257" s="5" t="inlineStr">
        <x:is>
          <x:t xml:space="preserve">budget / model / plan / recommendation</x:t>
        </x:is>
      </x:c>
      <x:c r="Y257" s="5" t="inlineStr">
        <x:is>
          <x:t xml:space="preserve">Advice is numerically coherent, practical, and transparent about assumptions.</x:t>
        </x:is>
      </x:c>
      <x:c r="Z257" s="5" t="inlineStr">
        <x:is>
          <x:t xml:space="preserve">Bad math, missing assumptions, or overconfident investment guidance.</x:t>
        </x:is>
      </x:c>
      <x:c r="AA257" s="5" t="inlineStr">
        <x:is>
          <x:t xml:space="preserve">financial calculator / assumption schema / spreadsheet outputs</x:t>
        </x:is>
      </x:c>
      <x:c r="AB257" s="5" t="inlineStr">
        <x:is>
          <x:t xml:space="preserve"/>
        </x:is>
      </x:c>
      <x:c r="AC257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57" s="5" t="inlineStr">
        <x:is>
          <x:t xml:space="preserve">FNBO Financial Wellbeing Study 2025; NerdWallet/Harris Poll 2026; PlanAdviser 2026</x:t>
        </x:is>
      </x:c>
      <x:c r="AE257" s="11">
        <x:f>IF(O257="High",20,IF(O257="Medium",10,IF(O257="Low",5,0)))+IF(P257="High",20,IF(P257="Medium",10,IF(P257="Low",5,0)))+IF(Q257="High",20,IF(Q257="Medium",10,IF(Q257="Low",5,0)))+IF(R257="High",20,IF(R257="Medium",10,IF(R257="Low",5,0)))+IF(S257="High",20,IF(S257="Medium",10,IF(S257="Low",5,0)))</x:f>
        <x:v>55</x:v>
      </x:c>
      <x:c r="AF257" s="12">
        <x:f>ROUND(H257*0.30+J257*0.25+K257*0.20+(100-AE257)*0.10+(100-(V257*20))*0.15,0)</x:f>
        <x:v>54</x:v>
      </x:c>
      <x:c r="AG257" s="13" t="str">
        <x:f>IF(AF257&gt;=80,"Batch 1",IF(AF257&gt;=70,"Batch 2",IF(AF257&gt;=60,"Batch 3","Backlog")))</x:f>
        <x:v>Backlog</x:v>
      </x:c>
      <x:c r="AH257" t="inlineStr">
        <x:is>
          <x:t xml:space="preserve"/>
        </x:is>
      </x:c>
    </x:row>
    <x:row r="258">
      <x:c r="A258" s="5" t="inlineStr">
        <x:is>
          <x:t xml:space="preserve">GPO-MUS-06</x:t>
        </x:is>
      </x:c>
      <x:c r="B258" s="5" t="n">
        <x:v>254</x:v>
      </x:c>
      <x:c r="C258" s="5" t="inlineStr">
        <x:is>
          <x:t xml:space="preserve">Music &amp; Audio Creation</x:t>
        </x:is>
      </x:c>
      <x:c r="D258" s="5" t="inlineStr">
        <x:is>
          <x:t xml:space="preserve">Create</x:t>
        </x:is>
      </x:c>
      <x:c r="E258" s="5" t="inlineStr">
        <x:is>
          <x:t xml:space="preserve">Core 150</x:t>
        </x:is>
      </x:c>
      <x:c r="F258" s="5" t="n">
        <x:v>6</x:v>
      </x:c>
      <x:c r="G258" s="5" t="inlineStr">
        <x:is>
          <x:t xml:space="preserve">Create a songwriting routine that balances creativity and finishing tracks.</x:t>
        </x:is>
      </x:c>
      <x:c r="H258" s="6" t="n">
        <x:v>47</x:v>
      </x:c>
      <x:c r="I258" s="6" t="n">
        <x:v>47</x:v>
      </x:c>
      <x:c r="J258" s="7" t="n">
        <x:v>61</x:v>
      </x:c>
      <x:c r="K258" s="7" t="n">
        <x:v>53</x:v>
      </x:c>
      <x:c r="L258" s="8" t="inlineStr">
        <x:is>
          <x:t xml:space="preserve">UNTESTED</x:t>
        </x:is>
      </x:c>
      <x:c r="M258" s="9" t="inlineStr">
        <x:is>
          <x:t xml:space="preserve">UNTESTED</x:t>
        </x:is>
      </x:c>
      <x:c r="N258" s="5" t="inlineStr">
        <x:is>
          <x:t xml:space="preserve">theory help; composition support; practice coaching; audio workflow planning</x:t>
        </x:is>
      </x:c>
      <x:c r="O258" s="5" t="inlineStr">
        <x:is>
          <x:t xml:space="preserve">Low</x:t>
        </x:is>
      </x:c>
      <x:c r="P258" s="5" t="inlineStr">
        <x:is>
          <x:t xml:space="preserve">Medium</x:t>
        </x:is>
      </x:c>
      <x:c r="Q258" s="5" t="inlineStr">
        <x:is>
          <x:t xml:space="preserve">Medium</x:t>
        </x:is>
      </x:c>
      <x:c r="R258" s="5" t="inlineStr">
        <x:is>
          <x:t xml:space="preserve">Low</x:t>
        </x:is>
      </x:c>
      <x:c r="S258" s="5" t="inlineStr">
        <x:is>
          <x:t xml:space="preserve">Medium</x:t>
        </x:is>
      </x:c>
      <x:c r="T258" s="5" t="inlineStr">
        <x:is>
          <x:t xml:space="preserve">ChatGPT/Claude planning + external music tools</x:t>
        </x:is>
      </x:c>
      <x:c r="U258" s="5" t="inlineStr">
        <x:is>
          <x:t xml:space="preserve">Medium</x:t>
        </x:is>
      </x:c>
      <x:c r="V258" s="10" t="n">
        <x:v>2</x:v>
      </x:c>
      <x:c r="W258" s="5" t="inlineStr">
        <x:is>
          <x:t xml:space="preserve">Creative coaching + workflow review</x:t>
        </x:is>
      </x:c>
      <x:c r="X258" s="5" t="inlineStr">
        <x:is>
          <x:t xml:space="preserve">practice plan / composition guide / arrangement brief</x:t>
        </x:is>
      </x:c>
      <x:c r="Y258" s="5" t="inlineStr">
        <x:is>
          <x:t xml:space="preserve">Output helps create or learn music in a concrete, musically coherent way.</x:t>
        </x:is>
      </x:c>
      <x:c r="Z258" s="5" t="inlineStr">
        <x:is>
          <x:t xml:space="preserve">Musically weak suggestions, generic advice, or no usable next step.</x:t>
        </x:is>
      </x:c>
      <x:c r="AA258" s="5" t="inlineStr">
        <x:is>
          <x:t xml:space="preserve">music mode / external tool routing / structured lesson outputs</x:t>
        </x:is>
      </x:c>
      <x:c r="AB258" s="5" t="inlineStr">
        <x:is>
          <x:t xml:space="preserve"/>
        </x:is>
      </x:c>
      <x:c r="AC258" s="5" t="inlineStr">
        <x:is>
          <x:t xml:space="preserve">Music-maker surveys show strong AI usage in parts of workflow, but full-song generation is less appealing; consumer trust remains mixed.</x:t>
        </x:is>
      </x:c>
      <x:c r="AD258" s="5" t="inlineStr">
        <x:is>
          <x:t xml:space="preserve">LANDR study 2025; PRS for Music 2026; Bain media survey 2025</x:t>
        </x:is>
      </x:c>
      <x:c r="AE258" s="11">
        <x:f>IF(O258="High",20,IF(O258="Medium",10,IF(O258="Low",5,0)))+IF(P258="High",20,IF(P258="Medium",10,IF(P258="Low",5,0)))+IF(Q258="High",20,IF(Q258="Medium",10,IF(Q258="Low",5,0)))+IF(R258="High",20,IF(R258="Medium",10,IF(R258="Low",5,0)))+IF(S258="High",20,IF(S258="Medium",10,IF(S258="Low",5,0)))</x:f>
        <x:v>40</x:v>
      </x:c>
      <x:c r="AF258" s="12">
        <x:f>ROUND(H258*0.30+J258*0.25+K258*0.20+(100-AE258)*0.10+(100-(V258*20))*0.15,0)</x:f>
        <x:v>55</x:v>
      </x:c>
      <x:c r="AG258" s="13" t="str">
        <x:f>IF(AF258&gt;=80,"Batch 1",IF(AF258&gt;=70,"Batch 2",IF(AF258&gt;=60,"Batch 3","Backlog")))</x:f>
        <x:v>Backlog</x:v>
      </x:c>
      <x:c r="AH258" t="inlineStr">
        <x:is>
          <x:t xml:space="preserve"/>
        </x:is>
      </x:c>
    </x:row>
    <x:row r="259">
      <x:c r="A259" s="5" t="inlineStr">
        <x:is>
          <x:t xml:space="preserve">GPO-TRA-21</x:t>
        </x:is>
      </x:c>
      <x:c r="B259" s="5" t="n">
        <x:v>255</x:v>
      </x:c>
      <x:c r="C259" s="5" t="inlineStr">
        <x:is>
          <x:t xml:space="preserve">Travel &amp; Relocation Planner</x:t>
        </x:is>
      </x:c>
      <x:c r="D259" s="5" t="inlineStr">
        <x:is>
          <x:t xml:space="preserve">Move</x:t>
        </x:is>
      </x:c>
      <x:c r="E259" s="5" t="inlineStr">
        <x:is>
          <x:t xml:space="preserve">Stretch 60</x:t>
        </x:is>
      </x:c>
      <x:c r="F259" s="5" t="n">
        <x:v>21</x:v>
      </x:c>
      <x:c r="G259" s="5" t="inlineStr">
        <x:is>
          <x:t xml:space="preserve">Build a relocation decision model that weighs taxes, career upside, quality of life, and immigration friction.</x:t>
        </x:is>
      </x:c>
      <x:c r="H259" s="6" t="n">
        <x:v>42</x:v>
      </x:c>
      <x:c r="I259" s="6" t="n">
        <x:v>42</x:v>
      </x:c>
      <x:c r="J259" s="7" t="n">
        <x:v>67</x:v>
      </x:c>
      <x:c r="K259" s="7" t="n">
        <x:v>53</x:v>
      </x:c>
      <x:c r="L259" s="8" t="inlineStr">
        <x:is>
          <x:t xml:space="preserve">UNTESTED</x:t>
        </x:is>
      </x:c>
      <x:c r="M259" s="9" t="inlineStr">
        <x:is>
          <x:t xml:space="preserve">UNTESTED</x:t>
        </x:is>
      </x:c>
      <x:c r="N259" s="5" t="inlineStr">
        <x:is>
          <x:t xml:space="preserve">travel research; itinerary planning; logistics reasoning; contingency planning</x:t>
        </x:is>
      </x:c>
      <x:c r="O259" s="5" t="inlineStr">
        <x:is>
          <x:t xml:space="preserve">High</x:t>
        </x:is>
      </x:c>
      <x:c r="P259" s="5" t="inlineStr">
        <x:is>
          <x:t xml:space="preserve">Medium</x:t>
        </x:is>
      </x:c>
      <x:c r="Q259" s="5" t="inlineStr">
        <x:is>
          <x:t xml:space="preserve">Medium</x:t>
        </x:is>
      </x:c>
      <x:c r="R259" s="5" t="inlineStr">
        <x:is>
          <x:t xml:space="preserve">Low</x:t>
        </x:is>
      </x:c>
      <x:c r="S259" s="5" t="inlineStr">
        <x:is>
          <x:t xml:space="preserve">Low</x:t>
        </x:is>
      </x:c>
      <x:c r="T259" s="5" t="inlineStr">
        <x:is>
          <x:t xml:space="preserve">ChatGPT with web; maps/calendar later</x:t>
        </x:is>
      </x:c>
      <x:c r="U259" s="5" t="inlineStr">
        <x:is>
          <x:t xml:space="preserve">Hard</x:t>
        </x:is>
      </x:c>
      <x:c r="V259" s="10" t="n">
        <x:v>3</x:v>
      </x:c>
      <x:c r="W259" s="5" t="inlineStr">
        <x:is>
          <x:t xml:space="preserve">Live trip planning + feasibility review</x:t>
        </x:is>
      </x:c>
      <x:c r="X259" s="5" t="inlineStr">
        <x:is>
          <x:t xml:space="preserve">itinerary / relocation plan / checklist</x:t>
        </x:is>
      </x:c>
      <x:c r="Y259" s="5" t="inlineStr">
        <x:is>
          <x:t xml:space="preserve">Plan is current, geographically sensible, and tuned to budget/constraints.</x:t>
        </x:is>
      </x:c>
      <x:c r="Z259" s="5" t="inlineStr">
        <x:is>
          <x:t xml:space="preserve">Bad logistics, stale info, wrong timing, or generic travel advice.</x:t>
        </x:is>
      </x:c>
      <x:c r="AA259" s="5" t="inlineStr">
        <x:is>
          <x:t xml:space="preserve">travel templates / web + mapping integration / logistics engine</x:t>
        </x:is>
      </x:c>
      <x:c r="AB259" s="5" t="inlineStr">
        <x:is>
          <x:t xml:space="preserve"/>
        </x:is>
      </x:c>
      <x:c r="AC25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59" s="5" t="inlineStr">
        <x:is>
          <x:t xml:space="preserve">Deloitte Connected Consumer 2025; Adobe travel planning 2025</x:t>
        </x:is>
      </x:c>
      <x:c r="AE259" s="11">
        <x:f>IF(O259="High",20,IF(O259="Medium",10,IF(O259="Low",5,0)))+IF(P259="High",20,IF(P259="Medium",10,IF(P259="Low",5,0)))+IF(Q259="High",20,IF(Q259="Medium",10,IF(Q259="Low",5,0)))+IF(R259="High",20,IF(R259="Medium",10,IF(R259="Low",5,0)))+IF(S259="High",20,IF(S259="Medium",10,IF(S259="Low",5,0)))</x:f>
        <x:v>50</x:v>
      </x:c>
      <x:c r="AF259" s="12">
        <x:f>ROUND(H259*0.30+J259*0.25+K259*0.20+(100-AE259)*0.10+(100-(V259*20))*0.15,0)</x:f>
        <x:v>51</x:v>
      </x:c>
      <x:c r="AG259" s="13" t="str">
        <x:f>IF(AF259&gt;=80,"Batch 1",IF(AF259&gt;=70,"Batch 2",IF(AF259&gt;=60,"Batch 3","Backlog")))</x:f>
        <x:v>Backlog</x:v>
      </x:c>
      <x:c r="AH259" t="inlineStr">
        <x:is>
          <x:t xml:space="preserve"/>
        </x:is>
      </x:c>
    </x:row>
    <x:row r="260">
      <x:c r="A260" s="5" t="inlineStr">
        <x:is>
          <x:t xml:space="preserve">GPO-PER-19</x:t>
        </x:is>
      </x:c>
      <x:c r="B260" s="5" t="n">
        <x:v>256</x:v>
      </x:c>
      <x:c r="C260" s="5" t="inlineStr">
        <x:is>
          <x:t xml:space="preserve">Personal Finance &amp; Investing</x:t>
        </x:is>
      </x:c>
      <x:c r="D260" s="5" t="inlineStr">
        <x:is>
          <x:t xml:space="preserve">Money</x:t>
        </x:is>
      </x:c>
      <x:c r="E260" s="5" t="inlineStr">
        <x:is>
          <x:t xml:space="preserve">Expansion 150</x:t>
        </x:is>
      </x:c>
      <x:c r="F260" s="5" t="n">
        <x:v>19</x:v>
      </x:c>
      <x:c r="G260" s="5" t="inlineStr">
        <x:is>
          <x:t xml:space="preserve">Help me build a 5-year plan for car, home, travel, and retirement goals.</x:t>
        </x:is>
      </x:c>
      <x:c r="H260" s="6" t="n">
        <x:v>44</x:v>
      </x:c>
      <x:c r="I260" s="6" t="n">
        <x:v>44</x:v>
      </x:c>
      <x:c r="J260" s="7" t="n">
        <x:v>64</x:v>
      </x:c>
      <x:c r="K260" s="7" t="n">
        <x:v>53</x:v>
      </x:c>
      <x:c r="L260" s="8" t="inlineStr">
        <x:is>
          <x:t xml:space="preserve">UNTESTED</x:t>
        </x:is>
      </x:c>
      <x:c r="M260" s="9" t="inlineStr">
        <x:is>
          <x:t xml:space="preserve">UNTESTED</x:t>
        </x:is>
      </x:c>
      <x:c r="N260" s="5" t="inlineStr">
        <x:is>
          <x:t xml:space="preserve">scenario modeling; budgeting; portfolio reasoning; decision framing</x:t>
        </x:is>
      </x:c>
      <x:c r="O260" s="5" t="inlineStr">
        <x:is>
          <x:t xml:space="preserve">Medium</x:t>
        </x:is>
      </x:c>
      <x:c r="P260" s="5" t="inlineStr">
        <x:is>
          <x:t xml:space="preserve">High</x:t>
        </x:is>
      </x:c>
      <x:c r="Q260" s="5" t="inlineStr">
        <x:is>
          <x:t xml:space="preserve">Medium</x:t>
        </x:is>
      </x:c>
      <x:c r="R260" s="5" t="inlineStr">
        <x:is>
          <x:t xml:space="preserve">Low</x:t>
        </x:is>
      </x:c>
      <x:c r="S260" s="5" t="inlineStr">
        <x:is>
          <x:t xml:space="preserve">Medium</x:t>
        </x:is>
      </x:c>
      <x:c r="T260" s="5" t="inlineStr">
        <x:is>
          <x:t xml:space="preserve">ChatGPT or Claude with spreadsheet support</x:t>
        </x:is>
      </x:c>
      <x:c r="U260" s="5" t="inlineStr">
        <x:is>
          <x:t xml:space="preserve">Medium</x:t>
        </x:is>
      </x:c>
      <x:c r="V260" s="10" t="n">
        <x:v>2</x:v>
      </x:c>
      <x:c r="W260" s="5" t="inlineStr">
        <x:is>
          <x:t xml:space="preserve">Scenario modeling + coherence review</x:t>
        </x:is>
      </x:c>
      <x:c r="X260" s="5" t="inlineStr">
        <x:is>
          <x:t xml:space="preserve">budget / model / plan / recommendation</x:t>
        </x:is>
      </x:c>
      <x:c r="Y260" s="5" t="inlineStr">
        <x:is>
          <x:t xml:space="preserve">Advice is numerically coherent, practical, and transparent about assumptions.</x:t>
        </x:is>
      </x:c>
      <x:c r="Z260" s="5" t="inlineStr">
        <x:is>
          <x:t xml:space="preserve">Bad math, missing assumptions, or overconfident investment guidance.</x:t>
        </x:is>
      </x:c>
      <x:c r="AA260" s="5" t="inlineStr">
        <x:is>
          <x:t xml:space="preserve">financial calculator / assumption schema / spreadsheet outputs</x:t>
        </x:is>
      </x:c>
      <x:c r="AB260" s="5" t="inlineStr">
        <x:is>
          <x:t xml:space="preserve"/>
        </x:is>
      </x:c>
      <x:c r="AC260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60" s="5" t="inlineStr">
        <x:is>
          <x:t xml:space="preserve">FNBO Financial Wellbeing Study 2025; NerdWallet/Harris Poll 2026; PlanAdviser 2026</x:t>
        </x:is>
      </x:c>
      <x:c r="AE260" s="11">
        <x:f>IF(O260="High",20,IF(O260="Medium",10,IF(O260="Low",5,0)))+IF(P260="High",20,IF(P260="Medium",10,IF(P260="Low",5,0)))+IF(Q260="High",20,IF(Q260="Medium",10,IF(Q260="Low",5,0)))+IF(R260="High",20,IF(R260="Medium",10,IF(R260="Low",5,0)))+IF(S260="High",20,IF(S260="Medium",10,IF(S260="Low",5,0)))</x:f>
        <x:v>55</x:v>
      </x:c>
      <x:c r="AF260" s="12">
        <x:f>ROUND(H260*0.30+J260*0.25+K260*0.20+(100-AE260)*0.10+(100-(V260*20))*0.15,0)</x:f>
        <x:v>53</x:v>
      </x:c>
      <x:c r="AG260" s="13" t="str">
        <x:f>IF(AF260&gt;=80,"Batch 1",IF(AF260&gt;=70,"Batch 2",IF(AF260&gt;=60,"Batch 3","Backlog")))</x:f>
        <x:v>Backlog</x:v>
      </x:c>
      <x:c r="AH260" t="inlineStr">
        <x:is>
          <x:t xml:space="preserve"/>
        </x:is>
      </x:c>
    </x:row>
    <x:row r="261">
      <x:c r="A261" s="5" t="inlineStr">
        <x:is>
          <x:t xml:space="preserve">GPO-HOM-08</x:t>
        </x:is>
      </x:c>
      <x:c r="B261" s="5" t="n">
        <x:v>257</x:v>
      </x:c>
      <x:c r="C261" s="5" t="inlineStr">
        <x:is>
          <x:t xml:space="preserve">Home &amp; Lifestyle Design</x:t>
        </x:is>
      </x:c>
      <x:c r="D261" s="5" t="inlineStr">
        <x:is>
          <x:t xml:space="preserve">Design</x:t>
        </x:is>
      </x:c>
      <x:c r="E261" s="5" t="inlineStr">
        <x:is>
          <x:t xml:space="preserve">Core 150</x:t>
        </x:is>
      </x:c>
      <x:c r="F261" s="5" t="n">
        <x:v>8</x:v>
      </x:c>
      <x:c r="G261" s="5" t="inlineStr">
        <x:is>
          <x:t xml:space="preserve">Recommend materials, finishes, and color palette for a modern premium look.</x:t>
        </x:is>
      </x:c>
      <x:c r="H261" s="6" t="n">
        <x:v>41</x:v>
      </x:c>
      <x:c r="I261" s="6" t="n">
        <x:v>41</x:v>
      </x:c>
      <x:c r="J261" s="7" t="n">
        <x:v>68</x:v>
      </x:c>
      <x:c r="K261" s="7" t="n">
        <x:v>53</x:v>
      </x:c>
      <x:c r="L261" s="8" t="inlineStr">
        <x:is>
          <x:t xml:space="preserve">UNTESTED</x:t>
        </x:is>
      </x:c>
      <x:c r="M261" s="9" t="inlineStr">
        <x:is>
          <x:t xml:space="preserve">UNTESTED</x:t>
        </x:is>
      </x:c>
      <x:c r="N261" s="5" t="inlineStr">
        <x:is>
          <x:t xml:space="preserve">space planning; product curation; aesthetic reasoning; phased project planning</x:t>
        </x:is>
      </x:c>
      <x:c r="O261" s="5" t="inlineStr">
        <x:is>
          <x:t xml:space="preserve">Medium</x:t>
        </x:is>
      </x:c>
      <x:c r="P261" s="5" t="inlineStr">
        <x:is>
          <x:t xml:space="preserve">High</x:t>
        </x:is>
      </x:c>
      <x:c r="Q261" s="5" t="inlineStr">
        <x:is>
          <x:t xml:space="preserve">Medium</x:t>
        </x:is>
      </x:c>
      <x:c r="R261" s="5" t="inlineStr">
        <x:is>
          <x:t xml:space="preserve">Low</x:t>
        </x:is>
      </x:c>
      <x:c r="S261" s="5" t="inlineStr">
        <x:is>
          <x:t xml:space="preserve">Low</x:t>
        </x:is>
      </x:c>
      <x:c r="T261" s="5" t="inlineStr">
        <x:is>
          <x:t xml:space="preserve">ChatGPT with web; image/design tools later</x:t>
        </x:is>
      </x:c>
      <x:c r="U261" s="5" t="inlineStr">
        <x:is>
          <x:t xml:space="preserve">Medium</x:t>
        </x:is>
      </x:c>
      <x:c r="V261" s="10" t="n">
        <x:v>2</x:v>
      </x:c>
      <x:c r="W261" s="5" t="inlineStr">
        <x:is>
          <x:t xml:space="preserve">Design brief generation + feasibility review</x:t>
        </x:is>
      </x:c>
      <x:c r="X261" s="5" t="inlineStr">
        <x:is>
          <x:t xml:space="preserve">layout / shopping plan / phased upgrade roadmap</x:t>
        </x:is>
      </x:c>
      <x:c r="Y261" s="5" t="inlineStr">
        <x:is>
          <x:t xml:space="preserve">Design plan feels cohesive, practical, and matched to lifestyle goals.</x:t>
        </x:is>
      </x:c>
      <x:c r="Z261" s="5" t="inlineStr">
        <x:is>
          <x:t xml:space="preserve">Pretty but impractical suggestions, no budget logic, or weak taste alignment.</x:t>
        </x:is>
      </x:c>
      <x:c r="AA261" s="5" t="inlineStr">
        <x:is>
          <x:t xml:space="preserve">design preference memory / shopping integration / image workflow</x:t>
        </x:is>
      </x:c>
      <x:c r="AB261" s="5" t="inlineStr">
        <x:is>
          <x:t xml:space="preserve"/>
        </x:is>
      </x:c>
      <x:c r="AC261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61" s="5" t="inlineStr">
        <x:is>
          <x:t xml:space="preserve">ThinkLab 2025 design benchmark; Houzz 2025 AI in construction &amp; design; Canadian Contractor/Mattoboard survey 2025</x:t>
        </x:is>
      </x:c>
      <x:c r="AE261" s="11">
        <x:f>IF(O261="High",20,IF(O261="Medium",10,IF(O261="Low",5,0)))+IF(P261="High",20,IF(P261="Medium",10,IF(P261="Low",5,0)))+IF(Q261="High",20,IF(Q261="Medium",10,IF(Q261="Low",5,0)))+IF(R261="High",20,IF(R261="Medium",10,IF(R261="Low",5,0)))+IF(S261="High",20,IF(S261="Medium",10,IF(S261="Low",5,0)))</x:f>
        <x:v>50</x:v>
      </x:c>
      <x:c r="AF261" s="12">
        <x:f>ROUND(H261*0.30+J261*0.25+K261*0.20+(100-AE261)*0.10+(100-(V261*20))*0.15,0)</x:f>
        <x:v>54</x:v>
      </x:c>
      <x:c r="AG261" s="13" t="str">
        <x:f>IF(AF261&gt;=80,"Batch 1",IF(AF261&gt;=70,"Batch 2",IF(AF261&gt;=60,"Batch 3","Backlog")))</x:f>
        <x:v>Backlog</x:v>
      </x:c>
      <x:c r="AH261" t="inlineStr">
        <x:is>
          <x:t xml:space="preserve"/>
        </x:is>
      </x:c>
    </x:row>
    <x:row r="262">
      <x:c r="A262" s="5" t="inlineStr">
        <x:is>
          <x:t xml:space="preserve">GPO-LEA-23</x:t>
        </x:is>
      </x:c>
      <x:c r="B262" s="5" t="n">
        <x:v>258</x:v>
      </x:c>
      <x:c r="C262" s="5" t="inlineStr">
        <x:is>
          <x:t xml:space="preserve">Learning &amp; Tutoring</x:t>
        </x:is>
      </x:c>
      <x:c r="D262" s="5" t="inlineStr">
        <x:is>
          <x:t xml:space="preserve">Grow</x:t>
        </x:is>
      </x:c>
      <x:c r="E262" s="5" t="inlineStr">
        <x:is>
          <x:t xml:space="preserve">Stretch 60</x:t>
        </x:is>
      </x:c>
      <x:c r="F262" s="5" t="n">
        <x:v>23</x:v>
      </x:c>
      <x:c r="G262" s="5" t="inlineStr">
        <x:is>
          <x:t xml:space="preserve">Create spaced-repetition material automatically from my own notes and weak spots.</x:t>
        </x:is>
      </x:c>
      <x:c r="H262" s="6" t="n">
        <x:v>41</x:v>
      </x:c>
      <x:c r="I262" s="6" t="n">
        <x:v>41</x:v>
      </x:c>
      <x:c r="J262" s="7" t="n">
        <x:v>68</x:v>
      </x:c>
      <x:c r="K262" s="7" t="n">
        <x:v>53</x:v>
      </x:c>
      <x:c r="L262" s="8" t="inlineStr">
        <x:is>
          <x:t xml:space="preserve">UNTESTED</x:t>
        </x:is>
      </x:c>
      <x:c r="M262" s="9" t="inlineStr">
        <x:is>
          <x:t xml:space="preserve">UNTESTED</x:t>
        </x:is>
      </x:c>
      <x:c r="N262" s="5" t="inlineStr">
        <x:is>
          <x:t xml:space="preserve">adaptive tutoring; curriculum planning; quiz generation; context retention</x:t>
        </x:is>
      </x:c>
      <x:c r="O262" s="5" t="inlineStr">
        <x:is>
          <x:t xml:space="preserve">Low</x:t>
        </x:is>
      </x:c>
      <x:c r="P262" s="5" t="inlineStr">
        <x:is>
          <x:t xml:space="preserve">High</x:t>
        </x:is>
      </x:c>
      <x:c r="Q262" s="5" t="inlineStr">
        <x:is>
          <x:t xml:space="preserve">Low</x:t>
        </x:is>
      </x:c>
      <x:c r="R262" s="5" t="inlineStr">
        <x:is>
          <x:t xml:space="preserve">Low</x:t>
        </x:is>
      </x:c>
      <x:c r="S262" s="5" t="inlineStr">
        <x:is>
          <x:t xml:space="preserve">Low</x:t>
        </x:is>
      </x:c>
      <x:c r="T262" s="5" t="inlineStr">
        <x:is>
          <x:t xml:space="preserve">ChatGPT primary</x:t>
        </x:is>
      </x:c>
      <x:c r="U262" s="5" t="inlineStr">
        <x:is>
          <x:t xml:space="preserve">Medium</x:t>
        </x:is>
      </x:c>
      <x:c r="V262" s="10" t="n">
        <x:v>2</x:v>
      </x:c>
      <x:c r="W262" s="5" t="inlineStr">
        <x:is>
          <x:t xml:space="preserve">Interactive tutoring session + quality review</x:t>
        </x:is>
      </x:c>
      <x:c r="X262" s="5" t="inlineStr">
        <x:is>
          <x:t xml:space="preserve">lesson / plan / quiz / explanation</x:t>
        </x:is>
      </x:c>
      <x:c r="Y262" s="5" t="inlineStr">
        <x:is>
          <x:t xml:space="preserve">Teaching is accurate, adaptive, and improves understanding rather than over-answering.</x:t>
        </x:is>
      </x:c>
      <x:c r="Z262" s="5" t="inlineStr">
        <x:is>
          <x:t xml:space="preserve">Wrong explanations, over-helping, no adaptation, or generic curriculum.</x:t>
        </x:is>
      </x:c>
      <x:c r="AA262" s="5" t="inlineStr">
        <x:is>
          <x:t xml:space="preserve">tutor mode / memory / scaffolding logic</x:t>
        </x:is>
      </x:c>
      <x:c r="AB262" s="5" t="inlineStr">
        <x:is>
          <x:t xml:space="preserve"/>
        </x:is>
      </x:c>
      <x:c r="AC262" s="5" t="inlineStr">
        <x:is>
          <x:t xml:space="preserve">OpenAI practical guidance includes tutoring; HEPI 2025 says 88% of students use GenAI for assessments, often to explain concepts and summarize articles.</x:t>
        </x:is>
      </x:c>
      <x:c r="AD262" s="5" t="inlineStr">
        <x:is>
          <x:t xml:space="preserve">OpenAI How People Use ChatGPT paper; HEPI Student Generative AI Survey 2025; Brookings 2026 tutoring article</x:t>
        </x:is>
      </x:c>
      <x:c r="AE262" s="11">
        <x:f>IF(O262="High",20,IF(O262="Medium",10,IF(O262="Low",5,0)))+IF(P262="High",20,IF(P262="Medium",10,IF(P262="Low",5,0)))+IF(Q262="High",20,IF(Q262="Medium",10,IF(Q262="Low",5,0)))+IF(R262="High",20,IF(R262="Medium",10,IF(R262="Low",5,0)))+IF(S262="High",20,IF(S262="Medium",10,IF(S262="Low",5,0)))</x:f>
        <x:v>40</x:v>
      </x:c>
      <x:c r="AF262" s="12">
        <x:f>ROUND(H262*0.30+J262*0.25+K262*0.20+(100-AE262)*0.10+(100-(V262*20))*0.15,0)</x:f>
        <x:v>55</x:v>
      </x:c>
      <x:c r="AG262" s="13" t="str">
        <x:f>IF(AF262&gt;=80,"Batch 1",IF(AF262&gt;=70,"Batch 2",IF(AF262&gt;=60,"Batch 3","Backlog")))</x:f>
        <x:v>Backlog</x:v>
      </x:c>
      <x:c r="AH262" t="inlineStr">
        <x:is>
          <x:t xml:space="preserve"/>
        </x:is>
      </x:c>
    </x:row>
    <x:row r="263">
      <x:c r="A263" s="5" t="inlineStr">
        <x:is>
          <x:t xml:space="preserve">GPO-HEA-15</x:t>
        </x:is>
      </x:c>
      <x:c r="B263" s="5" t="n">
        <x:v>259</x:v>
      </x:c>
      <x:c r="C263" s="5" t="inlineStr">
        <x:is>
          <x:t xml:space="preserve">Health &amp; Wellness Coach</x:t>
        </x:is>
      </x:c>
      <x:c r="D263" s="5" t="inlineStr">
        <x:is>
          <x:t xml:space="preserve">Care</x:t>
        </x:is>
      </x:c>
      <x:c r="E263" s="5" t="inlineStr">
        <x:is>
          <x:t xml:space="preserve">Expansion 150</x:t>
        </x:is>
      </x:c>
      <x:c r="F263" s="5" t="n">
        <x:v>15</x:v>
      </x:c>
      <x:c r="G263" s="5" t="inlineStr">
        <x:is>
          <x:t xml:space="preserve">Teach me how to read body-composition, bloodwork, and wearable metrics intelligently.</x:t>
        </x:is>
      </x:c>
      <x:c r="H263" s="6" t="n">
        <x:v>53</x:v>
      </x:c>
      <x:c r="I263" s="6" t="n">
        <x:v>53</x:v>
      </x:c>
      <x:c r="J263" s="7" t="n">
        <x:v>51</x:v>
      </x:c>
      <x:c r="K263" s="7" t="n">
        <x:v>52</x:v>
      </x:c>
      <x:c r="L263" s="8" t="inlineStr">
        <x:is>
          <x:t xml:space="preserve">UNTESTED</x:t>
        </x:is>
      </x:c>
      <x:c r="M263" s="9" t="inlineStr">
        <x:is>
          <x:t xml:space="preserve">UNTESTED</x:t>
        </x:is>
      </x:c>
      <x:c r="N263" s="5" t="inlineStr">
        <x:is>
          <x:t xml:space="preserve">health explanation; risk framing; behavior coaching; careful disclaimer handling</x:t>
        </x:is>
      </x:c>
      <x:c r="O263" s="5" t="inlineStr">
        <x:is>
          <x:t xml:space="preserve">Medium</x:t>
        </x:is>
      </x:c>
      <x:c r="P263" s="5" t="inlineStr">
        <x:is>
          <x:t xml:space="preserve">High</x:t>
        </x:is>
      </x:c>
      <x:c r="Q263" s="5" t="inlineStr">
        <x:is>
          <x:t xml:space="preserve">Low</x:t>
        </x:is>
      </x:c>
      <x:c r="R263" s="5" t="inlineStr">
        <x:is>
          <x:t xml:space="preserve">Low</x:t>
        </x:is>
      </x:c>
      <x:c r="S263" s="5" t="inlineStr">
        <x:is>
          <x:t xml:space="preserve">Medium</x:t>
        </x:is>
      </x:c>
      <x:c r="T263" s="5" t="inlineStr">
        <x:is>
          <x:t xml:space="preserve">ChatGPT primary with careful guardrails</x:t>
        </x:is>
      </x:c>
      <x:c r="U263" s="5" t="inlineStr">
        <x:is>
          <x:t xml:space="preserve">Medium</x:t>
        </x:is>
      </x:c>
      <x:c r="V263" s="10" t="n">
        <x:v>2</x:v>
      </x:c>
      <x:c r="W263" s="5" t="inlineStr">
        <x:is>
          <x:t xml:space="preserve">Scenario prompts + safety review + usefulness review</x:t>
        </x:is>
      </x:c>
      <x:c r="X263" s="5" t="inlineStr">
        <x:is>
          <x:t xml:space="preserve">plan / explanation / checklist / prep brief</x:t>
        </x:is>
      </x:c>
      <x:c r="Y263" s="5" t="inlineStr">
        <x:is>
          <x:t xml:space="preserve">Useful, cautious, practical guidance that stays within safe boundaries.</x:t>
        </x:is>
      </x:c>
      <x:c r="Z263" s="5" t="inlineStr">
        <x:is>
          <x:t xml:space="preserve">Overconfident medical claims, weak escalation guidance, or unsafe advice.</x:t>
        </x:is>
      </x:c>
      <x:c r="AA263" s="5" t="inlineStr">
        <x:is>
          <x:t xml:space="preserve">safety layer / health mode / evidence grounding</x:t>
        </x:is>
      </x:c>
      <x:c r="AB263" s="5" t="inlineStr">
        <x:is>
          <x:t xml:space="preserve"/>
        </x:is>
      </x:c>
      <x:c r="AC263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63" s="5" t="inlineStr">
        <x:is>
          <x:t xml:space="preserve">OpenAI Introducing GPT-5; APPC 2025 health survey; Deloitte Connected Consumer 2025</x:t>
        </x:is>
      </x:c>
      <x:c r="AE263" s="11">
        <x:f>IF(O263="High",20,IF(O263="Medium",10,IF(O263="Low",5,0)))+IF(P263="High",20,IF(P263="Medium",10,IF(P263="Low",5,0)))+IF(Q263="High",20,IF(Q263="Medium",10,IF(Q263="Low",5,0)))+IF(R263="High",20,IF(R263="Medium",10,IF(R263="Low",5,0)))+IF(S263="High",20,IF(S263="Medium",10,IF(S263="Low",5,0)))</x:f>
        <x:v>50</x:v>
      </x:c>
      <x:c r="AF263" s="12">
        <x:f>ROUND(H263*0.30+J263*0.25+K263*0.20+(100-AE263)*0.10+(100-(V263*20))*0.15,0)</x:f>
        <x:v>53</x:v>
      </x:c>
      <x:c r="AG263" s="13" t="str">
        <x:f>IF(AF263&gt;=80,"Batch 1",IF(AF263&gt;=70,"Batch 2",IF(AF263&gt;=60,"Batch 3","Backlog")))</x:f>
        <x:v>Backlog</x:v>
      </x:c>
      <x:c r="AH263" t="inlineStr">
        <x:is>
          <x:t xml:space="preserve"/>
        </x:is>
      </x:c>
    </x:row>
    <x:row r="264">
      <x:c r="A264" s="5" t="inlineStr">
        <x:is>
          <x:t xml:space="preserve">GPO-CAR-20</x:t>
        </x:is>
      </x:c>
      <x:c r="B264" s="5" t="n">
        <x:v>260</x:v>
      </x:c>
      <x:c r="C264" s="5" t="inlineStr">
        <x:is>
          <x:t xml:space="preserve">Career &amp; Job Search</x:t>
        </x:is>
      </x:c>
      <x:c r="D264" s="5" t="inlineStr">
        <x:is>
          <x:t xml:space="preserve">Advance</x:t>
        </x:is>
      </x:c>
      <x:c r="E264" s="5" t="inlineStr">
        <x:is>
          <x:t xml:space="preserve">Expansion 150</x:t>
        </x:is>
      </x:c>
      <x:c r="F264" s="5" t="n">
        <x:v>20</x:v>
      </x:c>
      <x:c r="G264" s="5" t="inlineStr">
        <x:is>
          <x:t xml:space="preserve">Help me build a personal brand/content strategy that supports my career goals.</x:t>
        </x:is>
      </x:c>
      <x:c r="H264" s="6" t="n">
        <x:v>40</x:v>
      </x:c>
      <x:c r="I264" s="6" t="n">
        <x:v>40</x:v>
      </x:c>
      <x:c r="J264" s="7" t="n">
        <x:v>69</x:v>
      </x:c>
      <x:c r="K264" s="7" t="n">
        <x:v>53</x:v>
      </x:c>
      <x:c r="L264" s="8" t="inlineStr">
        <x:is>
          <x:t xml:space="preserve">UNTESTED</x:t>
        </x:is>
      </x:c>
      <x:c r="M264" s="9" t="inlineStr">
        <x:is>
          <x:t xml:space="preserve">UNTESTED</x:t>
        </x:is>
      </x:c>
      <x:c r="N264" s="5" t="inlineStr">
        <x:is>
          <x:t xml:space="preserve">resume tailoring; interview prep; role mapping; narrative building</x:t>
        </x:is>
      </x:c>
      <x:c r="O264" s="5" t="inlineStr">
        <x:is>
          <x:t xml:space="preserve">Medium</x:t>
        </x:is>
      </x:c>
      <x:c r="P264" s="5" t="inlineStr">
        <x:is>
          <x:t xml:space="preserve">High</x:t>
        </x:is>
      </x:c>
      <x:c r="Q264" s="5" t="inlineStr">
        <x:is>
          <x:t xml:space="preserve">Low</x:t>
        </x:is>
      </x:c>
      <x:c r="R264" s="5" t="inlineStr">
        <x:is>
          <x:t xml:space="preserve">Low</x:t>
        </x:is>
      </x:c>
      <x:c r="S264" s="5" t="inlineStr">
        <x:is>
          <x:t xml:space="preserve">Low</x:t>
        </x:is>
      </x:c>
      <x:c r="T264" s="5" t="inlineStr">
        <x:is>
          <x:t xml:space="preserve">ChatGPT primary</x:t>
        </x:is>
      </x:c>
      <x:c r="U264" s="5" t="inlineStr">
        <x:is>
          <x:t xml:space="preserve">Easy</x:t>
        </x:is>
      </x:c>
      <x:c r="V264" s="10" t="n">
        <x:v>1</x:v>
      </x:c>
      <x:c r="W264" s="5" t="inlineStr">
        <x:is>
          <x:t xml:space="preserve">Artifact review + mock interview + targeting review</x:t>
        </x:is>
      </x:c>
      <x:c r="X264" s="5" t="inlineStr">
        <x:is>
          <x:t xml:space="preserve">resume / prep plan / outreach / strategy memo</x:t>
        </x:is>
      </x:c>
      <x:c r="Y264" s="5" t="inlineStr">
        <x:is>
          <x:t xml:space="preserve">Career outputs are specific, credible, and materially improve positioning.</x:t>
        </x:is>
      </x:c>
      <x:c r="Z264" s="5" t="inlineStr">
        <x:is>
          <x:t xml:space="preserve">Generic resume language, fake-sounding stories, or weak role fit.</x:t>
        </x:is>
      </x:c>
      <x:c r="AA264" s="5" t="inlineStr">
        <x:is>
          <x:t xml:space="preserve">career templates / memory / ATS-aware output logic</x:t>
        </x:is>
      </x:c>
      <x:c r="AB264" s="5" t="inlineStr">
        <x:is>
          <x:t xml:space="preserve"/>
        </x:is>
      </x:c>
      <x:c r="AC264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64" s="5" t="inlineStr">
        <x:is>
          <x:t xml:space="preserve">Insight Global AI in Hiring Report 2025; NACE student survey 2025/2026</x:t>
        </x:is>
      </x:c>
      <x:c r="AE264" s="11">
        <x:f>IF(O264="High",20,IF(O264="Medium",10,IF(O264="Low",5,0)))+IF(P264="High",20,IF(P264="Medium",10,IF(P264="Low",5,0)))+IF(Q264="High",20,IF(Q264="Medium",10,IF(Q264="Low",5,0)))+IF(R264="High",20,IF(R264="Medium",10,IF(R264="Low",5,0)))+IF(S264="High",20,IF(S264="Medium",10,IF(S264="Low",5,0)))</x:f>
        <x:v>45</x:v>
      </x:c>
      <x:c r="AF264" s="12">
        <x:f>ROUND(H264*0.30+J264*0.25+K264*0.20+(100-AE264)*0.10+(100-(V264*20))*0.15,0)</x:f>
        <x:v>57</x:v>
      </x:c>
      <x:c r="AG264" s="13" t="str">
        <x:f>IF(AF264&gt;=80,"Batch 1",IF(AF264&gt;=70,"Batch 2",IF(AF264&gt;=60,"Batch 3","Backlog")))</x:f>
        <x:v>Backlog</x:v>
      </x:c>
      <x:c r="AH264" t="inlineStr">
        <x:is>
          <x:t xml:space="preserve"/>
        </x:is>
      </x:c>
    </x:row>
    <x:row r="265">
      <x:c r="A265" s="5" t="inlineStr">
        <x:is>
          <x:t xml:space="preserve">GPO-RES-23</x:t>
        </x:is>
      </x:c>
      <x:c r="B265" s="5" t="n">
        <x:v>261</x:v>
      </x:c>
      <x:c r="C265" s="5" t="inlineStr">
        <x:is>
          <x:t xml:space="preserve">Research &amp; Analysis</x:t>
        </x:is>
      </x:c>
      <x:c r="D265" s="5" t="inlineStr">
        <x:is>
          <x:t xml:space="preserve">Think</x:t>
        </x:is>
      </x:c>
      <x:c r="E265" s="5" t="inlineStr">
        <x:is>
          <x:t xml:space="preserve">Stretch 60</x:t>
        </x:is>
      </x:c>
      <x:c r="F265" s="5" t="n">
        <x:v>23</x:v>
      </x:c>
      <x:c r="G265" s="5" t="inlineStr">
        <x:is>
          <x:t xml:space="preserve">Synthesize competitor positioning into a concrete wedge strategy for GPO.</x:t>
        </x:is>
      </x:c>
      <x:c r="H265" s="6" t="n">
        <x:v>42</x:v>
      </x:c>
      <x:c r="I265" s="6" t="n">
        <x:v>42</x:v>
      </x:c>
      <x:c r="J265" s="7" t="n">
        <x:v>66</x:v>
      </x:c>
      <x:c r="K265" s="7" t="n">
        <x:v>53</x:v>
      </x:c>
      <x:c r="L265" s="8" t="inlineStr">
        <x:is>
          <x:t xml:space="preserve">UNTESTED</x:t>
        </x:is>
      </x:c>
      <x:c r="M265" s="9" t="inlineStr">
        <x:is>
          <x:t xml:space="preserve">UNTESTED</x:t>
        </x:is>
      </x:c>
      <x:c r="N265" s="5" t="inlineStr">
        <x:is>
          <x:t xml:space="preserve">web research; synthesis; citation discipline; decision framing</x:t>
        </x:is>
      </x:c>
      <x:c r="O265" s="5" t="inlineStr">
        <x:is>
          <x:t xml:space="preserve">High</x:t>
        </x:is>
      </x:c>
      <x:c r="P265" s="5" t="inlineStr">
        <x:is>
          <x:t xml:space="preserve">Medium</x:t>
        </x:is>
      </x:c>
      <x:c r="Q265" s="5" t="inlineStr">
        <x:is>
          <x:t xml:space="preserve">Medium</x:t>
        </x:is>
      </x:c>
      <x:c r="R265" s="5" t="inlineStr">
        <x:is>
          <x:t xml:space="preserve">Medium</x:t>
        </x:is>
      </x:c>
      <x:c r="S265" s="5" t="inlineStr">
        <x:is>
          <x:t xml:space="preserve">Low</x:t>
        </x:is>
      </x:c>
      <x:c r="T265" s="5" t="inlineStr">
        <x:is>
          <x:t xml:space="preserve">ChatGPT with web; Claude for synthesis</x:t>
        </x:is>
      </x:c>
      <x:c r="U265" s="5" t="inlineStr">
        <x:is>
          <x:t xml:space="preserve">Hard</x:t>
        </x:is>
      </x:c>
      <x:c r="V265" s="10" t="n">
        <x:v>3</x:v>
      </x:c>
      <x:c r="W265" s="5" t="inlineStr">
        <x:is>
          <x:t xml:space="preserve">Live research + source validation + recommendation review</x:t>
        </x:is>
      </x:c>
      <x:c r="X265" s="5" t="inlineStr">
        <x:is>
          <x:t xml:space="preserve">brief / comparison / decision memo / risk analysis</x:t>
        </x:is>
      </x:c>
      <x:c r="Y265" s="5" t="inlineStr">
        <x:is>
          <x:t xml:space="preserve">Accurate synthesis with evidence, tradeoffs, and a concrete recommendation.</x:t>
        </x:is>
      </x:c>
      <x:c r="Z265" s="5" t="inlineStr">
        <x:is>
          <x:t xml:space="preserve">Stale facts, no citations, weak reasoning, or surface-level synthesis.</x:t>
        </x:is>
      </x:c>
      <x:c r="AA265" s="5" t="inlineStr">
        <x:is>
          <x:t xml:space="preserve">web integration / citation enforcement / analysis rubric</x:t>
        </x:is>
      </x:c>
      <x:c r="AB265" s="5" t="inlineStr">
        <x:is>
          <x:t xml:space="preserve"/>
        </x:is>
      </x:c>
      <x:c r="AC265" s="5" t="inlineStr">
        <x:is>
          <x:t xml:space="preserve">OpenAI usage paper: Seeking Information is in top 3 categories; work/advice/search are common across Deloitte and OpenAI.</x:t>
        </x:is>
      </x:c>
      <x:c r="AD265" s="5" t="inlineStr">
        <x:is>
          <x:t xml:space="preserve">OpenAI How People Use ChatGPT paper; Deloitte Connected Consumer 2025</x:t>
        </x:is>
      </x:c>
      <x:c r="AE265" s="11">
        <x:f>IF(O265="High",20,IF(O265="Medium",10,IF(O265="Low",5,0)))+IF(P265="High",20,IF(P265="Medium",10,IF(P265="Low",5,0)))+IF(Q265="High",20,IF(Q265="Medium",10,IF(Q265="Low",5,0)))+IF(R265="High",20,IF(R265="Medium",10,IF(R265="Low",5,0)))+IF(S265="High",20,IF(S265="Medium",10,IF(S265="Low",5,0)))</x:f>
        <x:v>55</x:v>
      </x:c>
      <x:c r="AF265" s="12">
        <x:f>ROUND(H265*0.30+J265*0.25+K265*0.20+(100-AE265)*0.10+(100-(V265*20))*0.15,0)</x:f>
        <x:v>50</x:v>
      </x:c>
      <x:c r="AG265" s="13" t="str">
        <x:f>IF(AF265&gt;=80,"Batch 1",IF(AF265&gt;=70,"Batch 2",IF(AF265&gt;=60,"Batch 3","Backlog")))</x:f>
        <x:v>Backlog</x:v>
      </x:c>
      <x:c r="AH265" t="inlineStr">
        <x:is>
          <x:t xml:space="preserve"/>
        </x:is>
      </x:c>
    </x:row>
    <x:row r="266">
      <x:c r="A266" s="5" t="inlineStr">
        <x:is>
          <x:t xml:space="preserve">GPO-SCR-15</x:t>
        </x:is>
      </x:c>
      <x:c r="B266" s="5" t="n">
        <x:v>262</x:v>
      </x:c>
      <x:c r="C266" s="5" t="inlineStr">
        <x:is>
          <x:t xml:space="preserve">Screenwriting &amp; Story Development</x:t>
        </x:is>
      </x:c>
      <x:c r="D266" s="5" t="inlineStr">
        <x:is>
          <x:t xml:space="preserve">Create</x:t>
        </x:is>
      </x:c>
      <x:c r="E266" s="5" t="inlineStr">
        <x:is>
          <x:t xml:space="preserve">Expansion 150</x:t>
        </x:is>
      </x:c>
      <x:c r="F266" s="5" t="n">
        <x:v>15</x:v>
      </x:c>
      <x:c r="G266" s="5" t="inlineStr">
        <x:is>
          <x:t xml:space="preserve">Write a treatment and pitch deck outline for this film project.</x:t>
        </x:is>
      </x:c>
      <x:c r="H266" s="6" t="n">
        <x:v>42</x:v>
      </x:c>
      <x:c r="I266" s="6" t="n">
        <x:v>42</x:v>
      </x:c>
      <x:c r="J266" s="7" t="n">
        <x:v>66</x:v>
      </x:c>
      <x:c r="K266" s="7" t="n">
        <x:v>53</x:v>
      </x:c>
      <x:c r="L266" s="8" t="inlineStr">
        <x:is>
          <x:t xml:space="preserve">UNTESTED</x:t>
        </x:is>
      </x:c>
      <x:c r="M266" s="9" t="inlineStr">
        <x:is>
          <x:t xml:space="preserve">UNTESTED</x:t>
        </x:is>
      </x:c>
      <x:c r="N266" s="5" t="inlineStr">
        <x:is>
          <x:t xml:space="preserve">creative ideation; story structure; tone control; character design</x:t>
        </x:is>
      </x:c>
      <x:c r="O266" s="5" t="inlineStr">
        <x:is>
          <x:t xml:space="preserve">Low</x:t>
        </x:is>
      </x:c>
      <x:c r="P266" s="5" t="inlineStr">
        <x:is>
          <x:t xml:space="preserve">Medium</x:t>
        </x:is>
      </x:c>
      <x:c r="Q266" s="5" t="inlineStr">
        <x:is>
          <x:t xml:space="preserve">Low</x:t>
        </x:is>
      </x:c>
      <x:c r="R266" s="5" t="inlineStr">
        <x:is>
          <x:t xml:space="preserve">Low</x:t>
        </x:is>
      </x:c>
      <x:c r="S266" s="5" t="inlineStr">
        <x:is>
          <x:t xml:space="preserve">Low</x:t>
        </x:is>
      </x:c>
      <x:c r="T266" s="5" t="inlineStr">
        <x:is>
          <x:t xml:space="preserve">ChatGPT or Claude creative mode</x:t>
        </x:is>
      </x:c>
      <x:c r="U266" s="5" t="inlineStr">
        <x:is>
          <x:t xml:space="preserve">Easy</x:t>
        </x:is>
      </x:c>
      <x:c r="V266" s="10" t="n">
        <x:v>1</x:v>
      </x:c>
      <x:c r="W266" s="5" t="inlineStr">
        <x:is>
          <x:t xml:space="preserve">Creative prompt run + human taste review</x:t>
        </x:is>
      </x:c>
      <x:c r="X266" s="5" t="inlineStr">
        <x:is>
          <x:t xml:space="preserve">logline / outline / scene rewrite / treatment</x:t>
        </x:is>
      </x:c>
      <x:c r="Y266" s="5" t="inlineStr">
        <x:is>
          <x:t xml:space="preserve">Story work feels coherent, original, and emotionally alive.</x:t>
        </x:is>
      </x:c>
      <x:c r="Z266" s="5" t="inlineStr">
        <x:is>
          <x:t xml:space="preserve">Cliche ideas, flat dialogue, weak stakes, or no tonal discipline.</x:t>
        </x:is>
      </x:c>
      <x:c r="AA266" s="5" t="inlineStr">
        <x:is>
          <x:t xml:space="preserve">creative mode / style packs / development workflow</x:t>
        </x:is>
      </x:c>
      <x:c r="AB266" s="5" t="inlineStr">
        <x:is>
          <x:t xml:space="preserve"/>
        </x:is>
      </x:c>
      <x:c r="AC266" s="5" t="inlineStr">
        <x:is>
          <x:t xml:space="preserve">OpenAI practical guidance includes creative ideation; creator surveys show broad use of generative AI in creative workflows.</x:t>
        </x:is>
      </x:c>
      <x:c r="AD266" s="5" t="inlineStr">
        <x:is>
          <x:t xml:space="preserve">OpenAI How People Use ChatGPT paper; Adobe creators survey 2025; Wondercraft/Digiday creator workflow survey 2025</x:t>
        </x:is>
      </x:c>
      <x:c r="AE266" s="11">
        <x:f>IF(O266="High",20,IF(O266="Medium",10,IF(O266="Low",5,0)))+IF(P266="High",20,IF(P266="Medium",10,IF(P266="Low",5,0)))+IF(Q266="High",20,IF(Q266="Medium",10,IF(Q266="Low",5,0)))+IF(R266="High",20,IF(R266="Medium",10,IF(R266="Low",5,0)))+IF(S266="High",20,IF(S266="Medium",10,IF(S266="Low",5,0)))</x:f>
        <x:v>30</x:v>
      </x:c>
      <x:c r="AF266" s="12">
        <x:f>ROUND(H266*0.30+J266*0.25+K266*0.20+(100-AE266)*0.10+(100-(V266*20))*0.15,0)</x:f>
        <x:v>59</x:v>
      </x:c>
      <x:c r="AG266" s="13" t="str">
        <x:f>IF(AF266&gt;=80,"Batch 1",IF(AF266&gt;=70,"Batch 2",IF(AF266&gt;=60,"Batch 3","Backlog")))</x:f>
        <x:v>Backlog</x:v>
      </x:c>
      <x:c r="AH266" t="inlineStr">
        <x:is>
          <x:t xml:space="preserve"/>
        </x:is>
      </x:c>
    </x:row>
    <x:row r="267">
      <x:c r="A267" s="5" t="inlineStr">
        <x:is>
          <x:t xml:space="preserve">GPO-STA-19</x:t>
        </x:is>
      </x:c>
      <x:c r="B267" s="5" t="n">
        <x:v>263</x:v>
      </x:c>
      <x:c r="C267" s="5" t="inlineStr">
        <x:is>
          <x:t xml:space="preserve">Startup &amp; Business Builder</x:t>
        </x:is>
      </x:c>
      <x:c r="D267" s="5" t="inlineStr">
        <x:is>
          <x:t xml:space="preserve">Build</x:t>
        </x:is>
      </x:c>
      <x:c r="E267" s="5" t="inlineStr">
        <x:is>
          <x:t xml:space="preserve">Expansion 150</x:t>
        </x:is>
      </x:c>
      <x:c r="F267" s="5" t="n">
        <x:v>19</x:v>
      </x:c>
      <x:c r="G267" s="5" t="inlineStr">
        <x:is>
          <x:t xml:space="preserve">Help me choose the right niche/wedge for entering this market.</x:t>
        </x:is>
      </x:c>
      <x:c r="H267" s="6" t="n">
        <x:v>42</x:v>
      </x:c>
      <x:c r="I267" s="6" t="n">
        <x:v>42</x:v>
      </x:c>
      <x:c r="J267" s="7" t="n">
        <x:v>66</x:v>
      </x:c>
      <x:c r="K267" s="7" t="n">
        <x:v>53</x:v>
      </x:c>
      <x:c r="L267" s="8" t="inlineStr">
        <x:is>
          <x:t xml:space="preserve">UNTESTED</x:t>
        </x:is>
      </x:c>
      <x:c r="M267" s="9" t="inlineStr">
        <x:is>
          <x:t xml:space="preserve">UNTESTED</x:t>
        </x:is>
      </x:c>
      <x:c r="N267" s="5" t="inlineStr">
        <x:is>
          <x:t xml:space="preserve">strategy; product thinking; GTM reasoning; structured planning</x:t>
        </x:is>
      </x:c>
      <x:c r="O267" s="5" t="inlineStr">
        <x:is>
          <x:t xml:space="preserve">Medium</x:t>
        </x:is>
      </x:c>
      <x:c r="P267" s="5" t="inlineStr">
        <x:is>
          <x:t xml:space="preserve">High</x:t>
        </x:is>
      </x:c>
      <x:c r="Q267" s="5" t="inlineStr">
        <x:is>
          <x:t xml:space="preserve">Low</x:t>
        </x:is>
      </x:c>
      <x:c r="R267" s="5" t="inlineStr">
        <x:is>
          <x:t xml:space="preserve">Medium</x:t>
        </x:is>
      </x:c>
      <x:c r="S267" s="5" t="inlineStr">
        <x:is>
          <x:t xml:space="preserve">Low</x:t>
        </x:is>
      </x:c>
      <x:c r="T267" s="5" t="inlineStr">
        <x:is>
          <x:t xml:space="preserve">Claude + ChatGPT combo</x:t>
        </x:is>
      </x:c>
      <x:c r="U267" s="5" t="inlineStr">
        <x:is>
          <x:t xml:space="preserve">Medium</x:t>
        </x:is>
      </x:c>
      <x:c r="V267" s="10" t="n">
        <x:v>2</x:v>
      </x:c>
      <x:c r="W267" s="5" t="inlineStr">
        <x:is>
          <x:t xml:space="preserve">Plan generation + critique + strategic review</x:t>
        </x:is>
      </x:c>
      <x:c r="X267" s="5" t="inlineStr">
        <x:is>
          <x:t xml:space="preserve">roadmap / GTM plan / business memo</x:t>
        </x:is>
      </x:c>
      <x:c r="Y267" s="5" t="inlineStr">
        <x:is>
          <x:t xml:space="preserve">Recommendation is strategically sharp, prioritized, and grounded in market reality.</x:t>
        </x:is>
      </x:c>
      <x:c r="Z267" s="5" t="inlineStr">
        <x:is>
          <x:t xml:space="preserve">Buzzwordy output, no wedge, weak prioritization, or unearned confidence.</x:t>
        </x:is>
      </x:c>
      <x:c r="AA267" s="5" t="inlineStr">
        <x:is>
          <x:t xml:space="preserve">strategy templates / board logic / critique loop</x:t>
        </x:is>
      </x:c>
      <x:c r="AB267" s="5" t="inlineStr">
        <x:is>
          <x:t xml:space="preserve"/>
        </x:is>
      </x:c>
      <x:c r="AC267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67" s="5" t="inlineStr">
        <x:is>
          <x:t xml:space="preserve">OpenAI How People Use ChatGPT paper; Menlo State of Consumer AI 2025; Menlo AI UI Problem 2025</x:t>
        </x:is>
      </x:c>
      <x:c r="AE267" s="11">
        <x:f>IF(O267="High",20,IF(O267="Medium",10,IF(O267="Low",5,0)))+IF(P267="High",20,IF(P267="Medium",10,IF(P267="Low",5,0)))+IF(Q267="High",20,IF(Q267="Medium",10,IF(Q267="Low",5,0)))+IF(R267="High",20,IF(R267="Medium",10,IF(R267="Low",5,0)))+IF(S267="High",20,IF(S267="Medium",10,IF(S267="Low",5,0)))</x:f>
        <x:v>50</x:v>
      </x:c>
      <x:c r="AF267" s="12">
        <x:f>ROUND(H267*0.30+J267*0.25+K267*0.20+(100-AE267)*0.10+(100-(V267*20))*0.15,0)</x:f>
        <x:v>54</x:v>
      </x:c>
      <x:c r="AG267" s="13" t="str">
        <x:f>IF(AF267&gt;=80,"Batch 1",IF(AF267&gt;=70,"Batch 2",IF(AF267&gt;=60,"Batch 3","Backlog")))</x:f>
        <x:v>Backlog</x:v>
      </x:c>
      <x:c r="AH267" t="inlineStr">
        <x:is>
          <x:t xml:space="preserve"/>
        </x:is>
      </x:c>
    </x:row>
    <x:row r="268">
      <x:c r="A268" s="5" t="inlineStr">
        <x:is>
          <x:t xml:space="preserve">GPO-MUS-07</x:t>
        </x:is>
      </x:c>
      <x:c r="B268" s="5" t="n">
        <x:v>264</x:v>
      </x:c>
      <x:c r="C268" s="5" t="inlineStr">
        <x:is>
          <x:t xml:space="preserve">Music &amp; Audio Creation</x:t>
        </x:is>
      </x:c>
      <x:c r="D268" s="5" t="inlineStr">
        <x:is>
          <x:t xml:space="preserve">Create</x:t>
        </x:is>
      </x:c>
      <x:c r="E268" s="5" t="inlineStr">
        <x:is>
          <x:t xml:space="preserve">Core 150</x:t>
        </x:is>
      </x:c>
      <x:c r="F268" s="5" t="n">
        <x:v>7</x:v>
      </x:c>
      <x:c r="G268" s="5" t="inlineStr">
        <x:is>
          <x:t xml:space="preserve">Generate chord progressions, hooks, and variations in the style mood of my reference.</x:t>
        </x:is>
      </x:c>
      <x:c r="H268" s="6" t="n">
        <x:v>46</x:v>
      </x:c>
      <x:c r="I268" s="6" t="n">
        <x:v>46</x:v>
      </x:c>
      <x:c r="J268" s="7" t="n">
        <x:v>60</x:v>
      </x:c>
      <x:c r="K268" s="7" t="n">
        <x:v>52</x:v>
      </x:c>
      <x:c r="L268" s="8" t="inlineStr">
        <x:is>
          <x:t xml:space="preserve">UNTESTED</x:t>
        </x:is>
      </x:c>
      <x:c r="M268" s="9" t="inlineStr">
        <x:is>
          <x:t xml:space="preserve">UNTESTED</x:t>
        </x:is>
      </x:c>
      <x:c r="N268" s="5" t="inlineStr">
        <x:is>
          <x:t xml:space="preserve">theory help; composition support; practice coaching; audio workflow planning</x:t>
        </x:is>
      </x:c>
      <x:c r="O268" s="5" t="inlineStr">
        <x:is>
          <x:t xml:space="preserve">Low</x:t>
        </x:is>
      </x:c>
      <x:c r="P268" s="5" t="inlineStr">
        <x:is>
          <x:t xml:space="preserve">Medium</x:t>
        </x:is>
      </x:c>
      <x:c r="Q268" s="5" t="inlineStr">
        <x:is>
          <x:t xml:space="preserve">Medium</x:t>
        </x:is>
      </x:c>
      <x:c r="R268" s="5" t="inlineStr">
        <x:is>
          <x:t xml:space="preserve">Low</x:t>
        </x:is>
      </x:c>
      <x:c r="S268" s="5" t="inlineStr">
        <x:is>
          <x:t xml:space="preserve">Medium</x:t>
        </x:is>
      </x:c>
      <x:c r="T268" s="5" t="inlineStr">
        <x:is>
          <x:t xml:space="preserve">ChatGPT/Claude planning + external music tools</x:t>
        </x:is>
      </x:c>
      <x:c r="U268" s="5" t="inlineStr">
        <x:is>
          <x:t xml:space="preserve">Medium</x:t>
        </x:is>
      </x:c>
      <x:c r="V268" s="10" t="n">
        <x:v>2</x:v>
      </x:c>
      <x:c r="W268" s="5" t="inlineStr">
        <x:is>
          <x:t xml:space="preserve">Creative coaching + workflow review</x:t>
        </x:is>
      </x:c>
      <x:c r="X268" s="5" t="inlineStr">
        <x:is>
          <x:t xml:space="preserve">practice plan / composition guide / arrangement brief</x:t>
        </x:is>
      </x:c>
      <x:c r="Y268" s="5" t="inlineStr">
        <x:is>
          <x:t xml:space="preserve">Output helps create or learn music in a concrete, musically coherent way.</x:t>
        </x:is>
      </x:c>
      <x:c r="Z268" s="5" t="inlineStr">
        <x:is>
          <x:t xml:space="preserve">Musically weak suggestions, generic advice, or no usable next step.</x:t>
        </x:is>
      </x:c>
      <x:c r="AA268" s="5" t="inlineStr">
        <x:is>
          <x:t xml:space="preserve">music mode / external tool routing / structured lesson outputs</x:t>
        </x:is>
      </x:c>
      <x:c r="AB268" s="5" t="inlineStr">
        <x:is>
          <x:t xml:space="preserve"/>
        </x:is>
      </x:c>
      <x:c r="AC268" s="5" t="inlineStr">
        <x:is>
          <x:t xml:space="preserve">Music-maker surveys show strong AI usage in parts of workflow, but full-song generation is less appealing; consumer trust remains mixed.</x:t>
        </x:is>
      </x:c>
      <x:c r="AD268" s="5" t="inlineStr">
        <x:is>
          <x:t xml:space="preserve">LANDR study 2025; PRS for Music 2026; Bain media survey 2025</x:t>
        </x:is>
      </x:c>
      <x:c r="AE268" s="11">
        <x:f>IF(O268="High",20,IF(O268="Medium",10,IF(O268="Low",5,0)))+IF(P268="High",20,IF(P268="Medium",10,IF(P268="Low",5,0)))+IF(Q268="High",20,IF(Q268="Medium",10,IF(Q268="Low",5,0)))+IF(R268="High",20,IF(R268="Medium",10,IF(R268="Low",5,0)))+IF(S268="High",20,IF(S268="Medium",10,IF(S268="Low",5,0)))</x:f>
        <x:v>40</x:v>
      </x:c>
      <x:c r="AF268" s="12">
        <x:f>ROUND(H268*0.30+J268*0.25+K268*0.20+(100-AE268)*0.10+(100-(V268*20))*0.15,0)</x:f>
        <x:v>54</x:v>
      </x:c>
      <x:c r="AG268" s="13" t="str">
        <x:f>IF(AF268&gt;=80,"Batch 1",IF(AF268&gt;=70,"Batch 2",IF(AF268&gt;=60,"Batch 3","Backlog")))</x:f>
        <x:v>Backlog</x:v>
      </x:c>
      <x:c r="AH268" t="inlineStr">
        <x:is>
          <x:t xml:space="preserve"/>
        </x:is>
      </x:c>
    </x:row>
    <x:row r="269">
      <x:c r="A269" s="5" t="inlineStr">
        <x:is>
          <x:t xml:space="preserve">GPO-HOM-09</x:t>
        </x:is>
      </x:c>
      <x:c r="B269" s="5" t="n">
        <x:v>265</x:v>
      </x:c>
      <x:c r="C269" s="5" t="inlineStr">
        <x:is>
          <x:t xml:space="preserve">Home &amp; Lifestyle Design</x:t>
        </x:is>
      </x:c>
      <x:c r="D269" s="5" t="inlineStr">
        <x:is>
          <x:t xml:space="preserve">Design</x:t>
        </x:is>
      </x:c>
      <x:c r="E269" s="5" t="inlineStr">
        <x:is>
          <x:t xml:space="preserve">Core 150</x:t>
        </x:is>
      </x:c>
      <x:c r="F269" s="5" t="n">
        <x:v>9</x:v>
      </x:c>
      <x:c r="G269" s="5" t="inlineStr">
        <x:is>
          <x:t xml:space="preserve">Help me design a villa/house with smart tech, privacy, and operational ease.</x:t>
        </x:is>
      </x:c>
      <x:c r="H269" s="6" t="n">
        <x:v>40</x:v>
      </x:c>
      <x:c r="I269" s="6" t="n">
        <x:v>40</x:v>
      </x:c>
      <x:c r="J269" s="7" t="n">
        <x:v>68</x:v>
      </x:c>
      <x:c r="K269" s="7" t="n">
        <x:v>53</x:v>
      </x:c>
      <x:c r="L269" s="8" t="inlineStr">
        <x:is>
          <x:t xml:space="preserve">UNTESTED</x:t>
        </x:is>
      </x:c>
      <x:c r="M269" s="9" t="inlineStr">
        <x:is>
          <x:t xml:space="preserve">UNTESTED</x:t>
        </x:is>
      </x:c>
      <x:c r="N269" s="5" t="inlineStr">
        <x:is>
          <x:t xml:space="preserve">space planning; product curation; aesthetic reasoning; phased project planning</x:t>
        </x:is>
      </x:c>
      <x:c r="O269" s="5" t="inlineStr">
        <x:is>
          <x:t xml:space="preserve">Medium</x:t>
        </x:is>
      </x:c>
      <x:c r="P269" s="5" t="inlineStr">
        <x:is>
          <x:t xml:space="preserve">High</x:t>
        </x:is>
      </x:c>
      <x:c r="Q269" s="5" t="inlineStr">
        <x:is>
          <x:t xml:space="preserve">Medium</x:t>
        </x:is>
      </x:c>
      <x:c r="R269" s="5" t="inlineStr">
        <x:is>
          <x:t xml:space="preserve">Low</x:t>
        </x:is>
      </x:c>
      <x:c r="S269" s="5" t="inlineStr">
        <x:is>
          <x:t xml:space="preserve">Low</x:t>
        </x:is>
      </x:c>
      <x:c r="T269" s="5" t="inlineStr">
        <x:is>
          <x:t xml:space="preserve">ChatGPT with web; image/design tools later</x:t>
        </x:is>
      </x:c>
      <x:c r="U269" s="5" t="inlineStr">
        <x:is>
          <x:t xml:space="preserve">Medium</x:t>
        </x:is>
      </x:c>
      <x:c r="V269" s="10" t="n">
        <x:v>2</x:v>
      </x:c>
      <x:c r="W269" s="5" t="inlineStr">
        <x:is>
          <x:t xml:space="preserve">Design brief generation + feasibility review</x:t>
        </x:is>
      </x:c>
      <x:c r="X269" s="5" t="inlineStr">
        <x:is>
          <x:t xml:space="preserve">layout / shopping plan / phased upgrade roadmap</x:t>
        </x:is>
      </x:c>
      <x:c r="Y269" s="5" t="inlineStr">
        <x:is>
          <x:t xml:space="preserve">Design plan feels cohesive, practical, and matched to lifestyle goals.</x:t>
        </x:is>
      </x:c>
      <x:c r="Z269" s="5" t="inlineStr">
        <x:is>
          <x:t xml:space="preserve">Pretty but impractical suggestions, no budget logic, or weak taste alignment.</x:t>
        </x:is>
      </x:c>
      <x:c r="AA269" s="5" t="inlineStr">
        <x:is>
          <x:t xml:space="preserve">design preference memory / shopping integration / image workflow</x:t>
        </x:is>
      </x:c>
      <x:c r="AB269" s="5" t="inlineStr">
        <x:is>
          <x:t xml:space="preserve"/>
        </x:is>
      </x:c>
      <x:c r="AC269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69" s="5" t="inlineStr">
        <x:is>
          <x:t xml:space="preserve">ThinkLab 2025 design benchmark; Houzz 2025 AI in construction &amp; design; Canadian Contractor/Mattoboard survey 2025</x:t>
        </x:is>
      </x:c>
      <x:c r="AE269" s="11">
        <x:f>IF(O269="High",20,IF(O269="Medium",10,IF(O269="Low",5,0)))+IF(P269="High",20,IF(P269="Medium",10,IF(P269="Low",5,0)))+IF(Q269="High",20,IF(Q269="Medium",10,IF(Q269="Low",5,0)))+IF(R269="High",20,IF(R269="Medium",10,IF(R269="Low",5,0)))+IF(S269="High",20,IF(S269="Medium",10,IF(S269="Low",5,0)))</x:f>
        <x:v>50</x:v>
      </x:c>
      <x:c r="AF269" s="12">
        <x:f>ROUND(H269*0.30+J269*0.25+K269*0.20+(100-AE269)*0.10+(100-(V269*20))*0.15,0)</x:f>
        <x:v>54</x:v>
      </x:c>
      <x:c r="AG269" s="13" t="str">
        <x:f>IF(AF269&gt;=80,"Batch 1",IF(AF269&gt;=70,"Batch 2",IF(AF269&gt;=60,"Batch 3","Backlog")))</x:f>
        <x:v>Backlog</x:v>
      </x:c>
      <x:c r="AH269" t="inlineStr">
        <x:is>
          <x:t xml:space="preserve"/>
        </x:is>
      </x:c>
    </x:row>
    <x:row r="270">
      <x:c r="A270" s="5" t="inlineStr">
        <x:is>
          <x:t xml:space="preserve">GPO-FIL-06</x:t>
        </x:is>
      </x:c>
      <x:c r="B270" s="5" t="n">
        <x:v>266</x:v>
      </x:c>
      <x:c r="C270" s="5" t="inlineStr">
        <x:is>
          <x:t xml:space="preserve">Filmmaking &amp; Video Production</x:t>
        </x:is>
      </x:c>
      <x:c r="D270" s="5" t="inlineStr">
        <x:is>
          <x:t xml:space="preserve">Create</x:t>
        </x:is>
      </x:c>
      <x:c r="E270" s="5" t="inlineStr">
        <x:is>
          <x:t xml:space="preserve">Core 150</x:t>
        </x:is>
      </x:c>
      <x:c r="F270" s="5" t="n">
        <x:v>6</x:v>
      </x:c>
      <x:c r="G270" s="5" t="inlineStr">
        <x:is>
          <x:t xml:space="preserve">Create a low-budget but premium video production plan for this project.</x:t>
        </x:is>
      </x:c>
      <x:c r="H270" s="6" t="n">
        <x:v>50</x:v>
      </x:c>
      <x:c r="I270" s="6" t="n">
        <x:v>50</x:v>
      </x:c>
      <x:c r="J270" s="7" t="n">
        <x:v>54</x:v>
      </x:c>
      <x:c r="K270" s="7" t="n">
        <x:v>52</x:v>
      </x:c>
      <x:c r="L270" s="8" t="inlineStr">
        <x:is>
          <x:t xml:space="preserve">UNTESTED</x:t>
        </x:is>
      </x:c>
      <x:c r="M270" s="9" t="inlineStr">
        <x:is>
          <x:t xml:space="preserve">UNTESTED</x:t>
        </x:is>
      </x:c>
      <x:c r="N270" s="5" t="inlineStr">
        <x:is>
          <x:t xml:space="preserve">shot planning; multimodal coordination; tool routing; production workflow</x:t>
        </x:is>
      </x:c>
      <x:c r="O270" s="5" t="inlineStr">
        <x:is>
          <x:t xml:space="preserve">Low</x:t>
        </x:is>
      </x:c>
      <x:c r="P270" s="5" t="inlineStr">
        <x:is>
          <x:t xml:space="preserve">Medium</x:t>
        </x:is>
      </x:c>
      <x:c r="Q270" s="5" t="inlineStr">
        <x:is>
          <x:t xml:space="preserve">High</x:t>
        </x:is>
      </x:c>
      <x:c r="R270" s="5" t="inlineStr">
        <x:is>
          <x:t xml:space="preserve">High</x:t>
        </x:is>
      </x:c>
      <x:c r="S270" s="5" t="inlineStr">
        <x:is>
          <x:t xml:space="preserve">Medium</x:t>
        </x:is>
      </x:c>
      <x:c r="T270" s="5" t="inlineStr">
        <x:is>
          <x:t xml:space="preserve">Claude planning + external video/image tools</x:t>
        </x:is>
      </x:c>
      <x:c r="U270" s="5" t="inlineStr">
        <x:is>
          <x:t xml:space="preserve">Hard</x:t>
        </x:is>
      </x:c>
      <x:c r="V270" s="10" t="n">
        <x:v>3</x:v>
      </x:c>
      <x:c r="W270" s="5" t="inlineStr">
        <x:is>
          <x:t xml:space="preserve">Workflow plan + asset chain review</x:t>
        </x:is>
      </x:c>
      <x:c r="X270" s="5" t="inlineStr">
        <x:is>
          <x:t xml:space="preserve">shot list / storyboard / production workflow / tool stack recommendation</x:t>
        </x:is>
      </x:c>
      <x:c r="Y270" s="5" t="inlineStr">
        <x:is>
          <x:t xml:space="preserve">Workflow is executable with current tools and preserves consistency across assets.</x:t>
        </x:is>
      </x:c>
      <x:c r="Z270" s="5" t="inlineStr">
        <x:is>
          <x:t xml:space="preserve">Ignores tool limits, no consistency strategy, or vague production logic.</x:t>
        </x:is>
      </x:c>
      <x:c r="AA270" s="5" t="inlineStr">
        <x:is>
          <x:t xml:space="preserve">multimodal orchestration / provider routing / asset schema</x:t>
        </x:is>
      </x:c>
      <x:c r="AB270" s="5" t="inlineStr">
        <x:is>
          <x:t xml:space="preserve"/>
        </x:is>
      </x:c>
      <x:c r="AC270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70" s="5" t="inlineStr">
        <x:is>
          <x:t xml:space="preserve">Wondercraft/Digiday creator workflow survey 2025; Artificial Analysis generative media survey 2025; Reuters/Canal+ 2026</x:t>
        </x:is>
      </x:c>
      <x:c r="AE270" s="11">
        <x:f>IF(O270="High",20,IF(O270="Medium",10,IF(O270="Low",5,0)))+IF(P270="High",20,IF(P270="Medium",10,IF(P270="Low",5,0)))+IF(Q270="High",20,IF(Q270="Medium",10,IF(Q270="Low",5,0)))+IF(R270="High",20,IF(R270="Medium",10,IF(R270="Low",5,0)))+IF(S270="High",20,IF(S270="Medium",10,IF(S270="Low",5,0)))</x:f>
        <x:v>65</x:v>
      </x:c>
      <x:c r="AF270" s="12">
        <x:f>ROUND(H270*0.30+J270*0.25+K270*0.20+(100-AE270)*0.10+(100-(V270*20))*0.15,0)</x:f>
        <x:v>48</x:v>
      </x:c>
      <x:c r="AG270" s="13" t="str">
        <x:f>IF(AF270&gt;=80,"Batch 1",IF(AF270&gt;=70,"Batch 2",IF(AF270&gt;=60,"Batch 3","Backlog")))</x:f>
        <x:v>Backlog</x:v>
      </x:c>
      <x:c r="AH270" t="inlineStr">
        <x:is>
          <x:t xml:space="preserve"/>
        </x:is>
      </x:c>
    </x:row>
    <x:row r="271">
      <x:c r="A271" s="5" t="inlineStr">
        <x:is>
          <x:t xml:space="preserve">GPO-WRI-24</x:t>
        </x:is>
      </x:c>
      <x:c r="B271" s="5" t="n">
        <x:v>267</x:v>
      </x:c>
      <x:c r="C271" s="5" t="inlineStr">
        <x:is>
          <x:t xml:space="preserve">Writing &amp; Documentation</x:t>
        </x:is>
      </x:c>
      <x:c r="D271" s="5" t="inlineStr">
        <x:is>
          <x:t xml:space="preserve">Create</x:t>
        </x:is>
      </x:c>
      <x:c r="E271" s="5" t="inlineStr">
        <x:is>
          <x:t xml:space="preserve">Stretch 60</x:t>
        </x:is>
      </x:c>
      <x:c r="F271" s="5" t="n">
        <x:v>24</x:v>
      </x:c>
      <x:c r="G271" s="5" t="inlineStr">
        <x:is>
          <x:t xml:space="preserve">Create a reusable documentation schema so all engines output consistent handoff artifacts.</x:t>
        </x:is>
      </x:c>
      <x:c r="H271" s="6" t="n">
        <x:v>39</x:v>
      </x:c>
      <x:c r="I271" s="6" t="n">
        <x:v>39</x:v>
      </x:c>
      <x:c r="J271" s="7" t="n">
        <x:v>69</x:v>
      </x:c>
      <x:c r="K271" s="7" t="n">
        <x:v>52</x:v>
      </x:c>
      <x:c r="L271" s="8" t="inlineStr">
        <x:is>
          <x:t xml:space="preserve">UNTESTED</x:t>
        </x:is>
      </x:c>
      <x:c r="M271" s="9" t="inlineStr">
        <x:is>
          <x:t xml:space="preserve">UNTESTED</x:t>
        </x:is>
      </x:c>
      <x:c r="N271" s="5" t="inlineStr">
        <x:is>
          <x:t xml:space="preserve">writing quality; summarization; style control; structured artifacts</x:t>
        </x:is>
      </x:c>
      <x:c r="O271" s="5" t="inlineStr">
        <x:is>
          <x:t xml:space="preserve">Low</x:t>
        </x:is>
      </x:c>
      <x:c r="P271" s="5" t="inlineStr">
        <x:is>
          <x:t xml:space="preserve">Medium</x:t>
        </x:is>
      </x:c>
      <x:c r="Q271" s="5" t="inlineStr">
        <x:is>
          <x:t xml:space="preserve">Low</x:t>
        </x:is>
      </x:c>
      <x:c r="R271" s="5" t="inlineStr">
        <x:is>
          <x:t xml:space="preserve">Low</x:t>
        </x:is>
      </x:c>
      <x:c r="S271" s="5" t="inlineStr">
        <x:is>
          <x:t xml:space="preserve">Low</x:t>
        </x:is>
      </x:c>
      <x:c r="T271" s="5" t="inlineStr">
        <x:is>
          <x:t xml:space="preserve">ChatGPT or Claude; human review optional</x:t>
        </x:is>
      </x:c>
      <x:c r="U271" s="5" t="inlineStr">
        <x:is>
          <x:t xml:space="preserve">Medium</x:t>
        </x:is>
      </x:c>
      <x:c r="V271" s="10" t="n">
        <x:v>2</x:v>
      </x:c>
      <x:c r="W271" s="5" t="inlineStr">
        <x:is>
          <x:t xml:space="preserve">Prompt execution + artifact quality review</x:t>
        </x:is>
      </x:c>
      <x:c r="X271" s="5" t="inlineStr">
        <x:is>
          <x:t xml:space="preserve">doc / memo / email / FAQ / summary</x:t>
        </x:is>
      </x:c>
      <x:c r="Y271" s="5" t="inlineStr">
        <x:is>
          <x:t xml:space="preserve">Output is clear, tailored, structurally sound, and immediately usable.</x:t>
        </x:is>
      </x:c>
      <x:c r="Z271" s="5" t="inlineStr">
        <x:is>
          <x:t xml:space="preserve">Generic tone, missing context, weak structure, or wrong audience level.</x:t>
        </x:is>
      </x:c>
      <x:c r="AA271" s="5" t="inlineStr">
        <x:is>
          <x:t xml:space="preserve">prompt pack / style guidance / output schema</x:t>
        </x:is>
      </x:c>
      <x:c r="AB271" s="5" t="inlineStr">
        <x:is>
          <x:t xml:space="preserve"/>
        </x:is>
      </x:c>
      <x:c r="AC271" s="5" t="inlineStr">
        <x:is>
          <x:t xml:space="preserve">OpenAI usage paper: Writing is in top 3 categories; Menlo consumer AI says 19% use AI to write emails and 18% get writing support.</x:t>
        </x:is>
      </x:c>
      <x:c r="AD271" s="5" t="inlineStr">
        <x:is>
          <x:t xml:space="preserve">OpenAI How People Use ChatGPT paper; Menlo State of Consumer AI 2025</x:t>
        </x:is>
      </x:c>
      <x:c r="AE271" s="11">
        <x:f>IF(O271="High",20,IF(O271="Medium",10,IF(O271="Low",5,0)))+IF(P271="High",20,IF(P271="Medium",10,IF(P271="Low",5,0)))+IF(Q271="High",20,IF(Q271="Medium",10,IF(Q271="Low",5,0)))+IF(R271="High",20,IF(R271="Medium",10,IF(R271="Low",5,0)))+IF(S271="High",20,IF(S271="Medium",10,IF(S271="Low",5,0)))</x:f>
        <x:v>30</x:v>
      </x:c>
      <x:c r="AF271" s="12">
        <x:f>ROUND(H271*0.30+J271*0.25+K271*0.20+(100-AE271)*0.10+(100-(V271*20))*0.15,0)</x:f>
        <x:v>55</x:v>
      </x:c>
      <x:c r="AG271" s="13" t="str">
        <x:f>IF(AF271&gt;=80,"Batch 1",IF(AF271&gt;=70,"Batch 2",IF(AF271&gt;=60,"Batch 3","Backlog")))</x:f>
        <x:v>Backlog</x:v>
      </x:c>
      <x:c r="AH271" t="inlineStr">
        <x:is>
          <x:t xml:space="preserve"/>
        </x:is>
      </x:c>
    </x:row>
    <x:row r="272">
      <x:c r="A272" s="5" t="inlineStr">
        <x:is>
          <x:t xml:space="preserve">GPO-COD-24</x:t>
        </x:is>
      </x:c>
      <x:c r="B272" s="5" t="n">
        <x:v>268</x:v>
      </x:c>
      <x:c r="C272" s="5" t="inlineStr">
        <x:is>
          <x:t xml:space="preserve">Code &amp; Product Engineering</x:t>
        </x:is>
      </x:c>
      <x:c r="D272" s="5" t="inlineStr">
        <x:is>
          <x:t xml:space="preserve">Build</x:t>
        </x:is>
      </x:c>
      <x:c r="E272" s="5" t="inlineStr">
        <x:is>
          <x:t xml:space="preserve">Stretch 60</x:t>
        </x:is>
      </x:c>
      <x:c r="F272" s="5" t="n">
        <x:v>24</x:v>
      </x:c>
      <x:c r="G272" s="5" t="inlineStr">
        <x:is>
          <x:t xml:space="preserve">Design a safe sandbox workflow for trying experimental providers without contaminating production behavior.</x:t>
        </x:is>
      </x:c>
      <x:c r="H272" s="6" t="n">
        <x:v>40</x:v>
      </x:c>
      <x:c r="I272" s="6" t="n">
        <x:v>40</x:v>
      </x:c>
      <x:c r="J272" s="7" t="n">
        <x:v>67</x:v>
      </x:c>
      <x:c r="K272" s="7" t="n">
        <x:v>52</x:v>
      </x:c>
      <x:c r="L272" s="8" t="inlineStr">
        <x:is>
          <x:t xml:space="preserve">UNTESTED</x:t>
        </x:is>
      </x:c>
      <x:c r="M272" s="9" t="inlineStr">
        <x:is>
          <x:t xml:space="preserve">UNTESTED</x:t>
        </x:is>
      </x:c>
      <x:c r="N272" s="5" t="inlineStr">
        <x:is>
          <x:t xml:space="preserve">routing; code reasoning; repo context; file edit; test execution; structured output</x:t>
        </x:is>
      </x:c>
      <x:c r="O272" s="5" t="inlineStr">
        <x:is>
          <x:t xml:space="preserve">No</x:t>
        </x:is>
      </x:c>
      <x:c r="P272" s="5" t="inlineStr">
        <x:is>
          <x:t xml:space="preserve">Medium</x:t>
        </x:is>
      </x:c>
      <x:c r="Q272" s="5" t="inlineStr">
        <x:is>
          <x:t xml:space="preserve">High</x:t>
        </x:is>
      </x:c>
      <x:c r="R272" s="5" t="inlineStr">
        <x:is>
          <x:t xml:space="preserve">Medium</x:t>
        </x:is>
      </x:c>
      <x:c r="S272" s="5" t="inlineStr">
        <x:is>
          <x:t xml:space="preserve">Low</x:t>
        </x:is>
      </x:c>
      <x:c r="T272" s="5" t="inlineStr">
        <x:is>
          <x:t xml:space="preserve">Claude Code primary; ChatGPT critique; web optional</x:t>
        </x:is>
      </x:c>
      <x:c r="U272" s="5" t="inlineStr">
        <x:is>
          <x:t xml:space="preserve">Hard</x:t>
        </x:is>
      </x:c>
      <x:c r="V272" s="10" t="n">
        <x:v>3</x:v>
      </x:c>
      <x:c r="W272" s="5" t="inlineStr">
        <x:is>
          <x:t xml:space="preserve">Live execution + code diff + output review</x:t>
        </x:is>
      </x:c>
      <x:c r="X272" s="5" t="inlineStr">
        <x:is>
          <x:t xml:space="preserve">code patch / spec / architecture / debug report</x:t>
        </x:is>
      </x:c>
      <x:c r="Y272" s="5" t="inlineStr">
        <x:is>
          <x:t xml:space="preserve">Produces correct technical plan or working code without breaking current behavior.</x:t>
        </x:is>
      </x:c>
      <x:c r="Z272" s="5" t="inlineStr">
        <x:is>
          <x:t xml:space="preserve">Hallucinated codebase facts, unsafe refactor, broken tests, or vague technical output.</x:t>
        </x:is>
      </x:c>
      <x:c r="AA272" s="5" t="inlineStr">
        <x:is>
          <x:t xml:space="preserve">routing / tool wiring / repo context / codegen guardrails</x:t>
        </x:is>
      </x:c>
      <x:c r="AB272" s="5" t="inlineStr">
        <x:is>
          <x:t xml:space="preserve"/>
        </x:is>
      </x:c>
      <x:c r="AC272" s="5" t="inlineStr">
        <x:is>
          <x:t xml:space="preserve">OpenAI/common use: writing+coding; Menlo enterprise coding is 55% of departmental AI spend; Deloitte top app: work assistance.</x:t>
        </x:is>
      </x:c>
      <x:c r="AD272" s="5" t="inlineStr">
        <x:is>
          <x:t xml:space="preserve">OpenAI GPT-5 / How People Use ChatGPT; Menlo State of GenAI in Enterprise 2025; Deloitte Connected Consumer 2025</x:t>
        </x:is>
      </x:c>
      <x:c r="AE272" s="11">
        <x:f>IF(O272="High",20,IF(O272="Medium",10,IF(O272="Low",5,0)))+IF(P272="High",20,IF(P272="Medium",10,IF(P272="Low",5,0)))+IF(Q272="High",20,IF(Q272="Medium",10,IF(Q272="Low",5,0)))+IF(R272="High",20,IF(R272="Medium",10,IF(R272="Low",5,0)))+IF(S272="High",20,IF(S272="Medium",10,IF(S272="Low",5,0)))</x:f>
        <x:v>45</x:v>
      </x:c>
      <x:c r="AF272" s="12">
        <x:f>ROUND(H272*0.30+J272*0.25+K272*0.20+(100-AE272)*0.10+(100-(V272*20))*0.15,0)</x:f>
        <x:v>51</x:v>
      </x:c>
      <x:c r="AG272" s="13" t="str">
        <x:f>IF(AF272&gt;=80,"Batch 1",IF(AF272&gt;=70,"Batch 2",IF(AF272&gt;=60,"Batch 3","Backlog")))</x:f>
        <x:v>Backlog</x:v>
      </x:c>
      <x:c r="AH272" t="inlineStr">
        <x:is>
          <x:t xml:space="preserve"/>
        </x:is>
      </x:c>
    </x:row>
    <x:row r="273">
      <x:c r="A273" s="5" t="inlineStr">
        <x:is>
          <x:t xml:space="preserve">GPO-HEA-16</x:t>
        </x:is>
      </x:c>
      <x:c r="B273" s="5" t="n">
        <x:v>269</x:v>
      </x:c>
      <x:c r="C273" s="5" t="inlineStr">
        <x:is>
          <x:t xml:space="preserve">Health &amp; Wellness Coach</x:t>
        </x:is>
      </x:c>
      <x:c r="D273" s="5" t="inlineStr">
        <x:is>
          <x:t xml:space="preserve">Care</x:t>
        </x:is>
      </x:c>
      <x:c r="E273" s="5" t="inlineStr">
        <x:is>
          <x:t xml:space="preserve">Expansion 150</x:t>
        </x:is>
      </x:c>
      <x:c r="F273" s="5" t="n">
        <x:v>16</x:v>
      </x:c>
      <x:c r="G273" s="5" t="inlineStr">
        <x:is>
          <x:t xml:space="preserve">Create a skin/hair/basic self-care routine for my goals and constraints.</x:t>
        </x:is>
      </x:c>
      <x:c r="H273" s="6" t="n">
        <x:v>52</x:v>
      </x:c>
      <x:c r="I273" s="6" t="n">
        <x:v>52</x:v>
      </x:c>
      <x:c r="J273" s="7" t="n">
        <x:v>50</x:v>
      </x:c>
      <x:c r="K273" s="7" t="n">
        <x:v>51</x:v>
      </x:c>
      <x:c r="L273" s="8" t="inlineStr">
        <x:is>
          <x:t xml:space="preserve">UNTESTED</x:t>
        </x:is>
      </x:c>
      <x:c r="M273" s="9" t="inlineStr">
        <x:is>
          <x:t xml:space="preserve">UNTESTED</x:t>
        </x:is>
      </x:c>
      <x:c r="N273" s="5" t="inlineStr">
        <x:is>
          <x:t xml:space="preserve">health explanation; risk framing; behavior coaching; careful disclaimer handling</x:t>
        </x:is>
      </x:c>
      <x:c r="O273" s="5" t="inlineStr">
        <x:is>
          <x:t xml:space="preserve">Medium</x:t>
        </x:is>
      </x:c>
      <x:c r="P273" s="5" t="inlineStr">
        <x:is>
          <x:t xml:space="preserve">High</x:t>
        </x:is>
      </x:c>
      <x:c r="Q273" s="5" t="inlineStr">
        <x:is>
          <x:t xml:space="preserve">Low</x:t>
        </x:is>
      </x:c>
      <x:c r="R273" s="5" t="inlineStr">
        <x:is>
          <x:t xml:space="preserve">Low</x:t>
        </x:is>
      </x:c>
      <x:c r="S273" s="5" t="inlineStr">
        <x:is>
          <x:t xml:space="preserve">Medium</x:t>
        </x:is>
      </x:c>
      <x:c r="T273" s="5" t="inlineStr">
        <x:is>
          <x:t xml:space="preserve">ChatGPT primary with careful guardrails</x:t>
        </x:is>
      </x:c>
      <x:c r="U273" s="5" t="inlineStr">
        <x:is>
          <x:t xml:space="preserve">Medium</x:t>
        </x:is>
      </x:c>
      <x:c r="V273" s="10" t="n">
        <x:v>2</x:v>
      </x:c>
      <x:c r="W273" s="5" t="inlineStr">
        <x:is>
          <x:t xml:space="preserve">Scenario prompts + safety review + usefulness review</x:t>
        </x:is>
      </x:c>
      <x:c r="X273" s="5" t="inlineStr">
        <x:is>
          <x:t xml:space="preserve">plan / explanation / checklist / prep brief</x:t>
        </x:is>
      </x:c>
      <x:c r="Y273" s="5" t="inlineStr">
        <x:is>
          <x:t xml:space="preserve">Useful, cautious, practical guidance that stays within safe boundaries.</x:t>
        </x:is>
      </x:c>
      <x:c r="Z273" s="5" t="inlineStr">
        <x:is>
          <x:t xml:space="preserve">Overconfident medical claims, weak escalation guidance, or unsafe advice.</x:t>
        </x:is>
      </x:c>
      <x:c r="AA273" s="5" t="inlineStr">
        <x:is>
          <x:t xml:space="preserve">safety layer / health mode / evidence grounding</x:t>
        </x:is>
      </x:c>
      <x:c r="AB273" s="5" t="inlineStr">
        <x:is>
          <x:t xml:space="preserve"/>
        </x:is>
      </x:c>
      <x:c r="AC273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73" s="5" t="inlineStr">
        <x:is>
          <x:t xml:space="preserve">OpenAI Introducing GPT-5; APPC 2025 health survey; Deloitte Connected Consumer 2025</x:t>
        </x:is>
      </x:c>
      <x:c r="AE273" s="11">
        <x:f>IF(O273="High",20,IF(O273="Medium",10,IF(O273="Low",5,0)))+IF(P273="High",20,IF(P273="Medium",10,IF(P273="Low",5,0)))+IF(Q273="High",20,IF(Q273="Medium",10,IF(Q273="Low",5,0)))+IF(R273="High",20,IF(R273="Medium",10,IF(R273="Low",5,0)))+IF(S273="High",20,IF(S273="Medium",10,IF(S273="Low",5,0)))</x:f>
        <x:v>50</x:v>
      </x:c>
      <x:c r="AF273" s="12">
        <x:f>ROUND(H273*0.30+J273*0.25+K273*0.20+(100-AE273)*0.10+(100-(V273*20))*0.15,0)</x:f>
        <x:v>52</x:v>
      </x:c>
      <x:c r="AG273" s="13" t="str">
        <x:f>IF(AF273&gt;=80,"Batch 1",IF(AF273&gt;=70,"Batch 2",IF(AF273&gt;=60,"Batch 3","Backlog")))</x:f>
        <x:v>Backlog</x:v>
      </x:c>
      <x:c r="AH273" t="inlineStr">
        <x:is>
          <x:t xml:space="preserve"/>
        </x:is>
      </x:c>
    </x:row>
    <x:row r="274">
      <x:c r="A274" s="5" t="inlineStr">
        <x:is>
          <x:t xml:space="preserve">GPO-SCR-16</x:t>
        </x:is>
      </x:c>
      <x:c r="B274" s="5" t="n">
        <x:v>270</x:v>
      </x:c>
      <x:c r="C274" s="5" t="inlineStr">
        <x:is>
          <x:t xml:space="preserve">Screenwriting &amp; Story Development</x:t>
        </x:is>
      </x:c>
      <x:c r="D274" s="5" t="inlineStr">
        <x:is>
          <x:t xml:space="preserve">Create</x:t>
        </x:is>
      </x:c>
      <x:c r="E274" s="5" t="inlineStr">
        <x:is>
          <x:t xml:space="preserve">Expansion 150</x:t>
        </x:is>
      </x:c>
      <x:c r="F274" s="5" t="n">
        <x:v>16</x:v>
      </x:c>
      <x:c r="G274" s="5" t="inlineStr">
        <x:is>
          <x:t xml:space="preserve">Help me improve subtext, tension, and visual storytelling in this scene.</x:t>
        </x:is>
      </x:c>
      <x:c r="H274" s="6" t="n">
        <x:v>41</x:v>
      </x:c>
      <x:c r="I274" s="6" t="n">
        <x:v>41</x:v>
      </x:c>
      <x:c r="J274" s="7" t="n">
        <x:v>65</x:v>
      </x:c>
      <x:c r="K274" s="7" t="n">
        <x:v>52</x:v>
      </x:c>
      <x:c r="L274" s="8" t="inlineStr">
        <x:is>
          <x:t xml:space="preserve">UNTESTED</x:t>
        </x:is>
      </x:c>
      <x:c r="M274" s="9" t="inlineStr">
        <x:is>
          <x:t xml:space="preserve">UNTESTED</x:t>
        </x:is>
      </x:c>
      <x:c r="N274" s="5" t="inlineStr">
        <x:is>
          <x:t xml:space="preserve">creative ideation; story structure; tone control; character design</x:t>
        </x:is>
      </x:c>
      <x:c r="O274" s="5" t="inlineStr">
        <x:is>
          <x:t xml:space="preserve">Low</x:t>
        </x:is>
      </x:c>
      <x:c r="P274" s="5" t="inlineStr">
        <x:is>
          <x:t xml:space="preserve">Medium</x:t>
        </x:is>
      </x:c>
      <x:c r="Q274" s="5" t="inlineStr">
        <x:is>
          <x:t xml:space="preserve">Low</x:t>
        </x:is>
      </x:c>
      <x:c r="R274" s="5" t="inlineStr">
        <x:is>
          <x:t xml:space="preserve">Low</x:t>
        </x:is>
      </x:c>
      <x:c r="S274" s="5" t="inlineStr">
        <x:is>
          <x:t xml:space="preserve">Low</x:t>
        </x:is>
      </x:c>
      <x:c r="T274" s="5" t="inlineStr">
        <x:is>
          <x:t xml:space="preserve">ChatGPT or Claude creative mode</x:t>
        </x:is>
      </x:c>
      <x:c r="U274" s="5" t="inlineStr">
        <x:is>
          <x:t xml:space="preserve">Medium</x:t>
        </x:is>
      </x:c>
      <x:c r="V274" s="10" t="n">
        <x:v>2</x:v>
      </x:c>
      <x:c r="W274" s="5" t="inlineStr">
        <x:is>
          <x:t xml:space="preserve">Creative prompt run + human taste review</x:t>
        </x:is>
      </x:c>
      <x:c r="X274" s="5" t="inlineStr">
        <x:is>
          <x:t xml:space="preserve">logline / outline / scene rewrite / treatment</x:t>
        </x:is>
      </x:c>
      <x:c r="Y274" s="5" t="inlineStr">
        <x:is>
          <x:t xml:space="preserve">Story work feels coherent, original, and emotionally alive.</x:t>
        </x:is>
      </x:c>
      <x:c r="Z274" s="5" t="inlineStr">
        <x:is>
          <x:t xml:space="preserve">Cliche ideas, flat dialogue, weak stakes, or no tonal discipline.</x:t>
        </x:is>
      </x:c>
      <x:c r="AA274" s="5" t="inlineStr">
        <x:is>
          <x:t xml:space="preserve">creative mode / style packs / development workflow</x:t>
        </x:is>
      </x:c>
      <x:c r="AB274" s="5" t="inlineStr">
        <x:is>
          <x:t xml:space="preserve"/>
        </x:is>
      </x:c>
      <x:c r="AC274" s="5" t="inlineStr">
        <x:is>
          <x:t xml:space="preserve">OpenAI practical guidance includes creative ideation; creator surveys show broad use of generative AI in creative workflows.</x:t>
        </x:is>
      </x:c>
      <x:c r="AD274" s="5" t="inlineStr">
        <x:is>
          <x:t xml:space="preserve">OpenAI How People Use ChatGPT paper; Adobe creators survey 2025; Wondercraft/Digiday creator workflow survey 2025</x:t>
        </x:is>
      </x:c>
      <x:c r="AE274" s="11">
        <x:f>IF(O274="High",20,IF(O274="Medium",10,IF(O274="Low",5,0)))+IF(P274="High",20,IF(P274="Medium",10,IF(P274="Low",5,0)))+IF(Q274="High",20,IF(Q274="Medium",10,IF(Q274="Low",5,0)))+IF(R274="High",20,IF(R274="Medium",10,IF(R274="Low",5,0)))+IF(S274="High",20,IF(S274="Medium",10,IF(S274="Low",5,0)))</x:f>
        <x:v>30</x:v>
      </x:c>
      <x:c r="AF274" s="12">
        <x:f>ROUND(H274*0.30+J274*0.25+K274*0.20+(100-AE274)*0.10+(100-(V274*20))*0.15,0)</x:f>
        <x:v>55</x:v>
      </x:c>
      <x:c r="AG274" s="13" t="str">
        <x:f>IF(AF274&gt;=80,"Batch 1",IF(AF274&gt;=70,"Batch 2",IF(AF274&gt;=60,"Batch 3","Backlog")))</x:f>
        <x:v>Backlog</x:v>
      </x:c>
      <x:c r="AH274" t="inlineStr">
        <x:is>
          <x:t xml:space="preserve"/>
        </x:is>
      </x:c>
    </x:row>
    <x:row r="275">
      <x:c r="A275" s="5" t="inlineStr">
        <x:is>
          <x:t xml:space="preserve">GPO-STA-20</x:t>
        </x:is>
      </x:c>
      <x:c r="B275" s="5" t="n">
        <x:v>271</x:v>
      </x:c>
      <x:c r="C275" s="5" t="inlineStr">
        <x:is>
          <x:t xml:space="preserve">Startup &amp; Business Builder</x:t>
        </x:is>
      </x:c>
      <x:c r="D275" s="5" t="inlineStr">
        <x:is>
          <x:t xml:space="preserve">Build</x:t>
        </x:is>
      </x:c>
      <x:c r="E275" s="5" t="inlineStr">
        <x:is>
          <x:t xml:space="preserve">Expansion 150</x:t>
        </x:is>
      </x:c>
      <x:c r="F275" s="5" t="n">
        <x:v>20</x:v>
      </x:c>
      <x:c r="G275" s="5" t="inlineStr">
        <x:is>
          <x:t xml:space="preserve">Create a board/advisor update that shows traction, risk, and next priorities.</x:t>
        </x:is>
      </x:c>
      <x:c r="H275" s="6" t="n">
        <x:v>41</x:v>
      </x:c>
      <x:c r="I275" s="6" t="n">
        <x:v>41</x:v>
      </x:c>
      <x:c r="J275" s="7" t="n">
        <x:v>65</x:v>
      </x:c>
      <x:c r="K275" s="7" t="n">
        <x:v>52</x:v>
      </x:c>
      <x:c r="L275" s="8" t="inlineStr">
        <x:is>
          <x:t xml:space="preserve">UNTESTED</x:t>
        </x:is>
      </x:c>
      <x:c r="M275" s="9" t="inlineStr">
        <x:is>
          <x:t xml:space="preserve">UNTESTED</x:t>
        </x:is>
      </x:c>
      <x:c r="N275" s="5" t="inlineStr">
        <x:is>
          <x:t xml:space="preserve">strategy; product thinking; GTM reasoning; structured planning</x:t>
        </x:is>
      </x:c>
      <x:c r="O275" s="5" t="inlineStr">
        <x:is>
          <x:t xml:space="preserve">Medium</x:t>
        </x:is>
      </x:c>
      <x:c r="P275" s="5" t="inlineStr">
        <x:is>
          <x:t xml:space="preserve">High</x:t>
        </x:is>
      </x:c>
      <x:c r="Q275" s="5" t="inlineStr">
        <x:is>
          <x:t xml:space="preserve">Low</x:t>
        </x:is>
      </x:c>
      <x:c r="R275" s="5" t="inlineStr">
        <x:is>
          <x:t xml:space="preserve">Medium</x:t>
        </x:is>
      </x:c>
      <x:c r="S275" s="5" t="inlineStr">
        <x:is>
          <x:t xml:space="preserve">Low</x:t>
        </x:is>
      </x:c>
      <x:c r="T275" s="5" t="inlineStr">
        <x:is>
          <x:t xml:space="preserve">Claude + ChatGPT combo</x:t>
        </x:is>
      </x:c>
      <x:c r="U275" s="5" t="inlineStr">
        <x:is>
          <x:t xml:space="preserve">Medium</x:t>
        </x:is>
      </x:c>
      <x:c r="V275" s="10" t="n">
        <x:v>2</x:v>
      </x:c>
      <x:c r="W275" s="5" t="inlineStr">
        <x:is>
          <x:t xml:space="preserve">Plan generation + critique + strategic review</x:t>
        </x:is>
      </x:c>
      <x:c r="X275" s="5" t="inlineStr">
        <x:is>
          <x:t xml:space="preserve">roadmap / GTM plan / business memo</x:t>
        </x:is>
      </x:c>
      <x:c r="Y275" s="5" t="inlineStr">
        <x:is>
          <x:t xml:space="preserve">Recommendation is strategically sharp, prioritized, and grounded in market reality.</x:t>
        </x:is>
      </x:c>
      <x:c r="Z275" s="5" t="inlineStr">
        <x:is>
          <x:t xml:space="preserve">Buzzwordy output, no wedge, weak prioritization, or unearned confidence.</x:t>
        </x:is>
      </x:c>
      <x:c r="AA275" s="5" t="inlineStr">
        <x:is>
          <x:t xml:space="preserve">strategy templates / board logic / critique loop</x:t>
        </x:is>
      </x:c>
      <x:c r="AB275" s="5" t="inlineStr">
        <x:is>
          <x:t xml:space="preserve"/>
        </x:is>
      </x:c>
      <x:c r="AC275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75" s="5" t="inlineStr">
        <x:is>
          <x:t xml:space="preserve">OpenAI How People Use ChatGPT paper; Menlo State of Consumer AI 2025; Menlo AI UI Problem 2025</x:t>
        </x:is>
      </x:c>
      <x:c r="AE275" s="11">
        <x:f>IF(O275="High",20,IF(O275="Medium",10,IF(O275="Low",5,0)))+IF(P275="High",20,IF(P275="Medium",10,IF(P275="Low",5,0)))+IF(Q275="High",20,IF(Q275="Medium",10,IF(Q275="Low",5,0)))+IF(R275="High",20,IF(R275="Medium",10,IF(R275="Low",5,0)))+IF(S275="High",20,IF(S275="Medium",10,IF(S275="Low",5,0)))</x:f>
        <x:v>50</x:v>
      </x:c>
      <x:c r="AF275" s="12">
        <x:f>ROUND(H275*0.30+J275*0.25+K275*0.20+(100-AE275)*0.10+(100-(V275*20))*0.15,0)</x:f>
        <x:v>53</x:v>
      </x:c>
      <x:c r="AG275" s="13" t="str">
        <x:f>IF(AF275&gt;=80,"Batch 1",IF(AF275&gt;=70,"Batch 2",IF(AF275&gt;=60,"Batch 3","Backlog")))</x:f>
        <x:v>Backlog</x:v>
      </x:c>
      <x:c r="AH275" t="inlineStr">
        <x:is>
          <x:t xml:space="preserve"/>
        </x:is>
      </x:c>
    </x:row>
    <x:row r="276">
      <x:c r="A276" s="5" t="inlineStr">
        <x:is>
          <x:t xml:space="preserve">GPO-SHO-22</x:t>
        </x:is>
      </x:c>
      <x:c r="B276" s="5" t="n">
        <x:v>272</x:v>
      </x:c>
      <x:c r="C276" s="5" t="inlineStr">
        <x:is>
          <x:t xml:space="preserve">Shopping &amp; Buying Advisor</x:t>
        </x:is>
      </x:c>
      <x:c r="D276" s="5" t="inlineStr">
        <x:is>
          <x:t xml:space="preserve">Buy</x:t>
        </x:is>
      </x:c>
      <x:c r="E276" s="5" t="inlineStr">
        <x:is>
          <x:t xml:space="preserve">Stretch 60</x:t>
        </x:is>
      </x:c>
      <x:c r="F276" s="5" t="n">
        <x:v>22</x:v>
      </x:c>
      <x:c r="G276" s="5" t="inlineStr">
        <x:is>
          <x:t xml:space="preserve">Create a pre-purchase checklist that catches hidden costs and compatibility issues.</x:t>
        </x:is>
      </x:c>
      <x:c r="H276" s="6" t="n">
        <x:v>40</x:v>
      </x:c>
      <x:c r="I276" s="6" t="n">
        <x:v>40</x:v>
      </x:c>
      <x:c r="J276" s="7" t="n">
        <x:v>66</x:v>
      </x:c>
      <x:c r="K276" s="7" t="n">
        <x:v>52</x:v>
      </x:c>
      <x:c r="L276" s="8" t="inlineStr">
        <x:is>
          <x:t xml:space="preserve">UNTESTED</x:t>
        </x:is>
      </x:c>
      <x:c r="M276" s="9" t="inlineStr">
        <x:is>
          <x:t xml:space="preserve">UNTESTED</x:t>
        </x:is>
      </x:c>
      <x:c r="N276" s="5" t="inlineStr">
        <x:is>
          <x:t xml:space="preserve">web/product research; comparison; price-value reasoning; shortlist generation</x:t>
        </x:is>
      </x:c>
      <x:c r="O276" s="5" t="inlineStr">
        <x:is>
          <x:t xml:space="preserve">High</x:t>
        </x:is>
      </x:c>
      <x:c r="P276" s="5" t="inlineStr">
        <x:is>
          <x:t xml:space="preserve">Medium</x:t>
        </x:is>
      </x:c>
      <x:c r="Q276" s="5" t="inlineStr">
        <x:is>
          <x:t xml:space="preserve">Medium</x:t>
        </x:is>
      </x:c>
      <x:c r="R276" s="5" t="inlineStr">
        <x:is>
          <x:t xml:space="preserve">Low</x:t>
        </x:is>
      </x:c>
      <x:c r="S276" s="5" t="inlineStr">
        <x:is>
          <x:t xml:space="preserve">Low</x:t>
        </x:is>
      </x:c>
      <x:c r="T276" s="5" t="inlineStr">
        <x:is>
          <x:t xml:space="preserve">ChatGPT with web</x:t>
        </x:is>
      </x:c>
      <x:c r="U276" s="5" t="inlineStr">
        <x:is>
          <x:t xml:space="preserve">Hard</x:t>
        </x:is>
      </x:c>
      <x:c r="V276" s="10" t="n">
        <x:v>3</x:v>
      </x:c>
      <x:c r="W276" s="5" t="inlineStr">
        <x:is>
          <x:t xml:space="preserve">Live shopping query + recommendation validation</x:t>
        </x:is>
      </x:c>
      <x:c r="X276" s="5" t="inlineStr">
        <x:is>
          <x:t xml:space="preserve">shortlist / recommendation / comparison / cart plan</x:t>
        </x:is>
      </x:c>
      <x:c r="Y276" s="5" t="inlineStr">
        <x:is>
          <x:t xml:space="preserve">Recommendation fits constraints and explains tradeoffs clearly.</x:t>
        </x:is>
      </x:c>
      <x:c r="Z276" s="5" t="inlineStr">
        <x:is>
          <x:t xml:space="preserve">Outdated products, poor fit, missed constraints, or shallow comparison.</x:t>
        </x:is>
      </x:c>
      <x:c r="AA276" s="5" t="inlineStr">
        <x:is>
          <x:t xml:space="preserve">web/product retrieval / comparison template / user preference memory</x:t>
        </x:is>
      </x:c>
      <x:c r="AB276" s="5" t="inlineStr">
        <x:is>
          <x:t xml:space="preserve"/>
        </x:is>
      </x:c>
      <x:c r="AC276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76" s="5" t="inlineStr">
        <x:is>
          <x:t xml:space="preserve">Deloitte Connected Consumer 2025; Salesforce Connected Shopper 2025; IAB 2025 shopping study</x:t>
        </x:is>
      </x:c>
      <x:c r="AE276" s="11">
        <x:f>IF(O276="High",20,IF(O276="Medium",10,IF(O276="Low",5,0)))+IF(P276="High",20,IF(P276="Medium",10,IF(P276="Low",5,0)))+IF(Q276="High",20,IF(Q276="Medium",10,IF(Q276="Low",5,0)))+IF(R276="High",20,IF(R276="Medium",10,IF(R276="Low",5,0)))+IF(S276="High",20,IF(S276="Medium",10,IF(S276="Low",5,0)))</x:f>
        <x:v>50</x:v>
      </x:c>
      <x:c r="AF276" s="12">
        <x:f>ROUND(H276*0.30+J276*0.25+K276*0.20+(100-AE276)*0.10+(100-(V276*20))*0.15,0)</x:f>
        <x:v>50</x:v>
      </x:c>
      <x:c r="AG276" s="13" t="str">
        <x:f>IF(AF276&gt;=80,"Batch 1",IF(AF276&gt;=70,"Batch 2",IF(AF276&gt;=60,"Batch 3","Backlog")))</x:f>
        <x:v>Backlog</x:v>
      </x:c>
      <x:c r="AH276" t="inlineStr">
        <x:is>
          <x:t xml:space="preserve"/>
        </x:is>
      </x:c>
    </x:row>
    <x:row r="277">
      <x:c r="A277" s="5" t="inlineStr">
        <x:is>
          <x:t xml:space="preserve">GPO-MUS-08</x:t>
        </x:is>
      </x:c>
      <x:c r="B277" s="5" t="n">
        <x:v>273</x:v>
      </x:c>
      <x:c r="C277" s="5" t="inlineStr">
        <x:is>
          <x:t xml:space="preserve">Music &amp; Audio Creation</x:t>
        </x:is>
      </x:c>
      <x:c r="D277" s="5" t="inlineStr">
        <x:is>
          <x:t xml:space="preserve">Create</x:t>
        </x:is>
      </x:c>
      <x:c r="E277" s="5" t="inlineStr">
        <x:is>
          <x:t xml:space="preserve">Core 150</x:t>
        </x:is>
      </x:c>
      <x:c r="F277" s="5" t="n">
        <x:v>8</x:v>
      </x:c>
      <x:c r="G277" s="5" t="inlineStr">
        <x:is>
          <x:t xml:space="preserve">Teach me how to produce better mixes using simple repeatable steps.</x:t>
        </x:is>
      </x:c>
      <x:c r="H277" s="6" t="n">
        <x:v>45</x:v>
      </x:c>
      <x:c r="I277" s="6" t="n">
        <x:v>45</x:v>
      </x:c>
      <x:c r="J277" s="7" t="n">
        <x:v>59</x:v>
      </x:c>
      <x:c r="K277" s="7" t="n">
        <x:v>51</x:v>
      </x:c>
      <x:c r="L277" s="8" t="inlineStr">
        <x:is>
          <x:t xml:space="preserve">UNTESTED</x:t>
        </x:is>
      </x:c>
      <x:c r="M277" s="9" t="inlineStr">
        <x:is>
          <x:t xml:space="preserve">UNTESTED</x:t>
        </x:is>
      </x:c>
      <x:c r="N277" s="5" t="inlineStr">
        <x:is>
          <x:t xml:space="preserve">theory help; composition support; practice coaching; audio workflow planning</x:t>
        </x:is>
      </x:c>
      <x:c r="O277" s="5" t="inlineStr">
        <x:is>
          <x:t xml:space="preserve">Low</x:t>
        </x:is>
      </x:c>
      <x:c r="P277" s="5" t="inlineStr">
        <x:is>
          <x:t xml:space="preserve">Medium</x:t>
        </x:is>
      </x:c>
      <x:c r="Q277" s="5" t="inlineStr">
        <x:is>
          <x:t xml:space="preserve">Medium</x:t>
        </x:is>
      </x:c>
      <x:c r="R277" s="5" t="inlineStr">
        <x:is>
          <x:t xml:space="preserve">Low</x:t>
        </x:is>
      </x:c>
      <x:c r="S277" s="5" t="inlineStr">
        <x:is>
          <x:t xml:space="preserve">Medium</x:t>
        </x:is>
      </x:c>
      <x:c r="T277" s="5" t="inlineStr">
        <x:is>
          <x:t xml:space="preserve">ChatGPT/Claude planning + external music tools</x:t>
        </x:is>
      </x:c>
      <x:c r="U277" s="5" t="inlineStr">
        <x:is>
          <x:t xml:space="preserve">Medium</x:t>
        </x:is>
      </x:c>
      <x:c r="V277" s="10" t="n">
        <x:v>2</x:v>
      </x:c>
      <x:c r="W277" s="5" t="inlineStr">
        <x:is>
          <x:t xml:space="preserve">Creative coaching + workflow review</x:t>
        </x:is>
      </x:c>
      <x:c r="X277" s="5" t="inlineStr">
        <x:is>
          <x:t xml:space="preserve">practice plan / composition guide / arrangement brief</x:t>
        </x:is>
      </x:c>
      <x:c r="Y277" s="5" t="inlineStr">
        <x:is>
          <x:t xml:space="preserve">Output helps create or learn music in a concrete, musically coherent way.</x:t>
        </x:is>
      </x:c>
      <x:c r="Z277" s="5" t="inlineStr">
        <x:is>
          <x:t xml:space="preserve">Musically weak suggestions, generic advice, or no usable next step.</x:t>
        </x:is>
      </x:c>
      <x:c r="AA277" s="5" t="inlineStr">
        <x:is>
          <x:t xml:space="preserve">music mode / external tool routing / structured lesson outputs</x:t>
        </x:is>
      </x:c>
      <x:c r="AB277" s="5" t="inlineStr">
        <x:is>
          <x:t xml:space="preserve"/>
        </x:is>
      </x:c>
      <x:c r="AC277" s="5" t="inlineStr">
        <x:is>
          <x:t xml:space="preserve">Music-maker surveys show strong AI usage in parts of workflow, but full-song generation is less appealing; consumer trust remains mixed.</x:t>
        </x:is>
      </x:c>
      <x:c r="AD277" s="5" t="inlineStr">
        <x:is>
          <x:t xml:space="preserve">LANDR study 2025; PRS for Music 2026; Bain media survey 2025</x:t>
        </x:is>
      </x:c>
      <x:c r="AE277" s="11">
        <x:f>IF(O277="High",20,IF(O277="Medium",10,IF(O277="Low",5,0)))+IF(P277="High",20,IF(P277="Medium",10,IF(P277="Low",5,0)))+IF(Q277="High",20,IF(Q277="Medium",10,IF(Q277="Low",5,0)))+IF(R277="High",20,IF(R277="Medium",10,IF(R277="Low",5,0)))+IF(S277="High",20,IF(S277="Medium",10,IF(S277="Low",5,0)))</x:f>
        <x:v>40</x:v>
      </x:c>
      <x:c r="AF277" s="12">
        <x:f>ROUND(H277*0.30+J277*0.25+K277*0.20+(100-AE277)*0.10+(100-(V277*20))*0.15,0)</x:f>
        <x:v>53</x:v>
      </x:c>
      <x:c r="AG277" s="13" t="str">
        <x:f>IF(AF277&gt;=80,"Batch 1",IF(AF277&gt;=70,"Batch 2",IF(AF277&gt;=60,"Batch 3","Backlog")))</x:f>
        <x:v>Backlog</x:v>
      </x:c>
      <x:c r="AH277" t="inlineStr">
        <x:is>
          <x:t xml:space="preserve"/>
        </x:is>
      </x:c>
    </x:row>
    <x:row r="278">
      <x:c r="A278" s="5" t="inlineStr">
        <x:is>
          <x:t xml:space="preserve">GPO-HOM-10</x:t>
        </x:is>
      </x:c>
      <x:c r="B278" s="5" t="n">
        <x:v>274</x:v>
      </x:c>
      <x:c r="C278" s="5" t="inlineStr">
        <x:is>
          <x:t xml:space="preserve">Home &amp; Lifestyle Design</x:t>
        </x:is>
      </x:c>
      <x:c r="D278" s="5" t="inlineStr">
        <x:is>
          <x:t xml:space="preserve">Design</x:t>
        </x:is>
      </x:c>
      <x:c r="E278" s="5" t="inlineStr">
        <x:is>
          <x:t xml:space="preserve">Core 150</x:t>
        </x:is>
      </x:c>
      <x:c r="F278" s="5" t="n">
        <x:v>10</x:v>
      </x:c>
      <x:c r="G278" s="5" t="inlineStr">
        <x:is>
          <x:t xml:space="preserve">Create a phased buying plan for furnishing my place without wasting money.</x:t>
        </x:is>
      </x:c>
      <x:c r="H278" s="6" t="n">
        <x:v>39</x:v>
      </x:c>
      <x:c r="I278" s="6" t="n">
        <x:v>39</x:v>
      </x:c>
      <x:c r="J278" s="7" t="n">
        <x:v>67</x:v>
      </x:c>
      <x:c r="K278" s="7" t="n">
        <x:v>52</x:v>
      </x:c>
      <x:c r="L278" s="8" t="inlineStr">
        <x:is>
          <x:t xml:space="preserve">UNTESTED</x:t>
        </x:is>
      </x:c>
      <x:c r="M278" s="9" t="inlineStr">
        <x:is>
          <x:t xml:space="preserve">UNTESTED</x:t>
        </x:is>
      </x:c>
      <x:c r="N278" s="5" t="inlineStr">
        <x:is>
          <x:t xml:space="preserve">space planning; product curation; aesthetic reasoning; phased project planning</x:t>
        </x:is>
      </x:c>
      <x:c r="O278" s="5" t="inlineStr">
        <x:is>
          <x:t xml:space="preserve">Medium</x:t>
        </x:is>
      </x:c>
      <x:c r="P278" s="5" t="inlineStr">
        <x:is>
          <x:t xml:space="preserve">High</x:t>
        </x:is>
      </x:c>
      <x:c r="Q278" s="5" t="inlineStr">
        <x:is>
          <x:t xml:space="preserve">Medium</x:t>
        </x:is>
      </x:c>
      <x:c r="R278" s="5" t="inlineStr">
        <x:is>
          <x:t xml:space="preserve">Low</x:t>
        </x:is>
      </x:c>
      <x:c r="S278" s="5" t="inlineStr">
        <x:is>
          <x:t xml:space="preserve">Low</x:t>
        </x:is>
      </x:c>
      <x:c r="T278" s="5" t="inlineStr">
        <x:is>
          <x:t xml:space="preserve">ChatGPT with web; image/design tools later</x:t>
        </x:is>
      </x:c>
      <x:c r="U278" s="5" t="inlineStr">
        <x:is>
          <x:t xml:space="preserve">Medium</x:t>
        </x:is>
      </x:c>
      <x:c r="V278" s="10" t="n">
        <x:v>2</x:v>
      </x:c>
      <x:c r="W278" s="5" t="inlineStr">
        <x:is>
          <x:t xml:space="preserve">Design brief generation + feasibility review</x:t>
        </x:is>
      </x:c>
      <x:c r="X278" s="5" t="inlineStr">
        <x:is>
          <x:t xml:space="preserve">layout / shopping plan / phased upgrade roadmap</x:t>
        </x:is>
      </x:c>
      <x:c r="Y278" s="5" t="inlineStr">
        <x:is>
          <x:t xml:space="preserve">Design plan feels cohesive, practical, and matched to lifestyle goals.</x:t>
        </x:is>
      </x:c>
      <x:c r="Z278" s="5" t="inlineStr">
        <x:is>
          <x:t xml:space="preserve">Pretty but impractical suggestions, no budget logic, or weak taste alignment.</x:t>
        </x:is>
      </x:c>
      <x:c r="AA278" s="5" t="inlineStr">
        <x:is>
          <x:t xml:space="preserve">design preference memory / shopping integration / image workflow</x:t>
        </x:is>
      </x:c>
      <x:c r="AB278" s="5" t="inlineStr">
        <x:is>
          <x:t xml:space="preserve"/>
        </x:is>
      </x:c>
      <x:c r="AC278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78" s="5" t="inlineStr">
        <x:is>
          <x:t xml:space="preserve">ThinkLab 2025 design benchmark; Houzz 2025 AI in construction &amp; design; Canadian Contractor/Mattoboard survey 2025</x:t>
        </x:is>
      </x:c>
      <x:c r="AE278" s="11">
        <x:f>IF(O278="High",20,IF(O278="Medium",10,IF(O278="Low",5,0)))+IF(P278="High",20,IF(P278="Medium",10,IF(P278="Low",5,0)))+IF(Q278="High",20,IF(Q278="Medium",10,IF(Q278="Low",5,0)))+IF(R278="High",20,IF(R278="Medium",10,IF(R278="Low",5,0)))+IF(S278="High",20,IF(S278="Medium",10,IF(S278="Low",5,0)))</x:f>
        <x:v>50</x:v>
      </x:c>
      <x:c r="AF278" s="12">
        <x:f>ROUND(H278*0.30+J278*0.25+K278*0.20+(100-AE278)*0.10+(100-(V278*20))*0.15,0)</x:f>
        <x:v>53</x:v>
      </x:c>
      <x:c r="AG278" s="13" t="str">
        <x:f>IF(AF278&gt;=80,"Batch 1",IF(AF278&gt;=70,"Batch 2",IF(AF278&gt;=60,"Batch 3","Backlog")))</x:f>
        <x:v>Backlog</x:v>
      </x:c>
      <x:c r="AH278" t="inlineStr">
        <x:is>
          <x:t xml:space="preserve"/>
        </x:is>
      </x:c>
    </x:row>
    <x:row r="279">
      <x:c r="A279" s="5" t="inlineStr">
        <x:is>
          <x:t xml:space="preserve">GPO-FIL-07</x:t>
        </x:is>
      </x:c>
      <x:c r="B279" s="5" t="n">
        <x:v>275</x:v>
      </x:c>
      <x:c r="C279" s="5" t="inlineStr">
        <x:is>
          <x:t xml:space="preserve">Filmmaking &amp; Video Production</x:t>
        </x:is>
      </x:c>
      <x:c r="D279" s="5" t="inlineStr">
        <x:is>
          <x:t xml:space="preserve">Create</x:t>
        </x:is>
      </x:c>
      <x:c r="E279" s="5" t="inlineStr">
        <x:is>
          <x:t xml:space="preserve">Core 150</x:t>
        </x:is>
      </x:c>
      <x:c r="F279" s="5" t="n">
        <x:v>7</x:v>
      </x:c>
      <x:c r="G279" s="5" t="inlineStr">
        <x:is>
          <x:t xml:space="preserve">Design a storyboard for this scene sequence with camera, mood, and action cues.</x:t>
        </x:is>
      </x:c>
      <x:c r="H279" s="6" t="n">
        <x:v>49</x:v>
      </x:c>
      <x:c r="I279" s="6" t="n">
        <x:v>49</x:v>
      </x:c>
      <x:c r="J279" s="7" t="n">
        <x:v>53</x:v>
      </x:c>
      <x:c r="K279" s="7" t="n">
        <x:v>51</x:v>
      </x:c>
      <x:c r="L279" s="8" t="inlineStr">
        <x:is>
          <x:t xml:space="preserve">UNTESTED</x:t>
        </x:is>
      </x:c>
      <x:c r="M279" s="9" t="inlineStr">
        <x:is>
          <x:t xml:space="preserve">UNTESTED</x:t>
        </x:is>
      </x:c>
      <x:c r="N279" s="5" t="inlineStr">
        <x:is>
          <x:t xml:space="preserve">shot planning; multimodal coordination; tool routing; production workflow</x:t>
        </x:is>
      </x:c>
      <x:c r="O279" s="5" t="inlineStr">
        <x:is>
          <x:t xml:space="preserve">Low</x:t>
        </x:is>
      </x:c>
      <x:c r="P279" s="5" t="inlineStr">
        <x:is>
          <x:t xml:space="preserve">Medium</x:t>
        </x:is>
      </x:c>
      <x:c r="Q279" s="5" t="inlineStr">
        <x:is>
          <x:t xml:space="preserve">High</x:t>
        </x:is>
      </x:c>
      <x:c r="R279" s="5" t="inlineStr">
        <x:is>
          <x:t xml:space="preserve">High</x:t>
        </x:is>
      </x:c>
      <x:c r="S279" s="5" t="inlineStr">
        <x:is>
          <x:t xml:space="preserve">Medium</x:t>
        </x:is>
      </x:c>
      <x:c r="T279" s="5" t="inlineStr">
        <x:is>
          <x:t xml:space="preserve">Claude planning + external video/image tools</x:t>
        </x:is>
      </x:c>
      <x:c r="U279" s="5" t="inlineStr">
        <x:is>
          <x:t xml:space="preserve">Hard</x:t>
        </x:is>
      </x:c>
      <x:c r="V279" s="10" t="n">
        <x:v>3</x:v>
      </x:c>
      <x:c r="W279" s="5" t="inlineStr">
        <x:is>
          <x:t xml:space="preserve">Workflow plan + asset chain review</x:t>
        </x:is>
      </x:c>
      <x:c r="X279" s="5" t="inlineStr">
        <x:is>
          <x:t xml:space="preserve">shot list / storyboard / production workflow / tool stack recommendation</x:t>
        </x:is>
      </x:c>
      <x:c r="Y279" s="5" t="inlineStr">
        <x:is>
          <x:t xml:space="preserve">Workflow is executable with current tools and preserves consistency across assets.</x:t>
        </x:is>
      </x:c>
      <x:c r="Z279" s="5" t="inlineStr">
        <x:is>
          <x:t xml:space="preserve">Ignores tool limits, no consistency strategy, or vague production logic.</x:t>
        </x:is>
      </x:c>
      <x:c r="AA279" s="5" t="inlineStr">
        <x:is>
          <x:t xml:space="preserve">multimodal orchestration / provider routing / asset schema</x:t>
        </x:is>
      </x:c>
      <x:c r="AB279" s="5" t="inlineStr">
        <x:is>
          <x:t xml:space="preserve"/>
        </x:is>
      </x:c>
      <x:c r="AC279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79" s="5" t="inlineStr">
        <x:is>
          <x:t xml:space="preserve">Wondercraft/Digiday creator workflow survey 2025; Artificial Analysis generative media survey 2025; Reuters/Canal+ 2026</x:t>
        </x:is>
      </x:c>
      <x:c r="AE279" s="11">
        <x:f>IF(O279="High",20,IF(O279="Medium",10,IF(O279="Low",5,0)))+IF(P279="High",20,IF(P279="Medium",10,IF(P279="Low",5,0)))+IF(Q279="High",20,IF(Q279="Medium",10,IF(Q279="Low",5,0)))+IF(R279="High",20,IF(R279="Medium",10,IF(R279="Low",5,0)))+IF(S279="High",20,IF(S279="Medium",10,IF(S279="Low",5,0)))</x:f>
        <x:v>65</x:v>
      </x:c>
      <x:c r="AF279" s="12">
        <x:f>ROUND(H279*0.30+J279*0.25+K279*0.20+(100-AE279)*0.10+(100-(V279*20))*0.15,0)</x:f>
        <x:v>48</x:v>
      </x:c>
      <x:c r="AG279" s="13" t="str">
        <x:f>IF(AF279&gt;=80,"Batch 1",IF(AF279&gt;=70,"Batch 2",IF(AF279&gt;=60,"Batch 3","Backlog")))</x:f>
        <x:v>Backlog</x:v>
      </x:c>
      <x:c r="AH279" t="inlineStr">
        <x:is>
          <x:t xml:space="preserve"/>
        </x:is>
      </x:c>
    </x:row>
    <x:row r="280">
      <x:c r="A280" s="5" t="inlineStr">
        <x:is>
          <x:t xml:space="preserve">GPO-PER-20</x:t>
        </x:is>
      </x:c>
      <x:c r="B280" s="5" t="n">
        <x:v>276</x:v>
      </x:c>
      <x:c r="C280" s="5" t="inlineStr">
        <x:is>
          <x:t xml:space="preserve">Personal Finance &amp; Investing</x:t>
        </x:is>
      </x:c>
      <x:c r="D280" s="5" t="inlineStr">
        <x:is>
          <x:t xml:space="preserve">Money</x:t>
        </x:is>
      </x:c>
      <x:c r="E280" s="5" t="inlineStr">
        <x:is>
          <x:t xml:space="preserve">Expansion 150</x:t>
        </x:is>
      </x:c>
      <x:c r="F280" s="5" t="n">
        <x:v>20</x:v>
      </x:c>
      <x:c r="G280" s="5" t="inlineStr">
        <x:is>
          <x:t xml:space="preserve">Explain what I should stop obsessing over and what really moves the needle financially.</x:t>
        </x:is>
      </x:c>
      <x:c r="H280" s="6" t="n">
        <x:v>42</x:v>
      </x:c>
      <x:c r="I280" s="6" t="n">
        <x:v>42</x:v>
      </x:c>
      <x:c r="J280" s="7" t="n">
        <x:v>63</x:v>
      </x:c>
      <x:c r="K280" s="7" t="n">
        <x:v>51</x:v>
      </x:c>
      <x:c r="L280" s="8" t="inlineStr">
        <x:is>
          <x:t xml:space="preserve">UNTESTED</x:t>
        </x:is>
      </x:c>
      <x:c r="M280" s="9" t="inlineStr">
        <x:is>
          <x:t xml:space="preserve">UNTESTED</x:t>
        </x:is>
      </x:c>
      <x:c r="N280" s="5" t="inlineStr">
        <x:is>
          <x:t xml:space="preserve">scenario modeling; budgeting; portfolio reasoning; decision framing</x:t>
        </x:is>
      </x:c>
      <x:c r="O280" s="5" t="inlineStr">
        <x:is>
          <x:t xml:space="preserve">Medium</x:t>
        </x:is>
      </x:c>
      <x:c r="P280" s="5" t="inlineStr">
        <x:is>
          <x:t xml:space="preserve">High</x:t>
        </x:is>
      </x:c>
      <x:c r="Q280" s="5" t="inlineStr">
        <x:is>
          <x:t xml:space="preserve">Medium</x:t>
        </x:is>
      </x:c>
      <x:c r="R280" s="5" t="inlineStr">
        <x:is>
          <x:t xml:space="preserve">Low</x:t>
        </x:is>
      </x:c>
      <x:c r="S280" s="5" t="inlineStr">
        <x:is>
          <x:t xml:space="preserve">Medium</x:t>
        </x:is>
      </x:c>
      <x:c r="T280" s="5" t="inlineStr">
        <x:is>
          <x:t xml:space="preserve">ChatGPT or Claude with spreadsheet support</x:t>
        </x:is>
      </x:c>
      <x:c r="U280" s="5" t="inlineStr">
        <x:is>
          <x:t xml:space="preserve">Medium</x:t>
        </x:is>
      </x:c>
      <x:c r="V280" s="10" t="n">
        <x:v>2</x:v>
      </x:c>
      <x:c r="W280" s="5" t="inlineStr">
        <x:is>
          <x:t xml:space="preserve">Scenario modeling + coherence review</x:t>
        </x:is>
      </x:c>
      <x:c r="X280" s="5" t="inlineStr">
        <x:is>
          <x:t xml:space="preserve">budget / model / plan / recommendation</x:t>
        </x:is>
      </x:c>
      <x:c r="Y280" s="5" t="inlineStr">
        <x:is>
          <x:t xml:space="preserve">Advice is numerically coherent, practical, and transparent about assumptions.</x:t>
        </x:is>
      </x:c>
      <x:c r="Z280" s="5" t="inlineStr">
        <x:is>
          <x:t xml:space="preserve">Bad math, missing assumptions, or overconfident investment guidance.</x:t>
        </x:is>
      </x:c>
      <x:c r="AA280" s="5" t="inlineStr">
        <x:is>
          <x:t xml:space="preserve">financial calculator / assumption schema / spreadsheet outputs</x:t>
        </x:is>
      </x:c>
      <x:c r="AB280" s="5" t="inlineStr">
        <x:is>
          <x:t xml:space="preserve"/>
        </x:is>
      </x:c>
      <x:c r="AC280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80" s="5" t="inlineStr">
        <x:is>
          <x:t xml:space="preserve">FNBO Financial Wellbeing Study 2025; NerdWallet/Harris Poll 2026; PlanAdviser 2026</x:t>
        </x:is>
      </x:c>
      <x:c r="AE280" s="11">
        <x:f>IF(O280="High",20,IF(O280="Medium",10,IF(O280="Low",5,0)))+IF(P280="High",20,IF(P280="Medium",10,IF(P280="Low",5,0)))+IF(Q280="High",20,IF(Q280="Medium",10,IF(Q280="Low",5,0)))+IF(R280="High",20,IF(R280="Medium",10,IF(R280="Low",5,0)))+IF(S280="High",20,IF(S280="Medium",10,IF(S280="Low",5,0)))</x:f>
        <x:v>55</x:v>
      </x:c>
      <x:c r="AF280" s="12">
        <x:f>ROUND(H280*0.30+J280*0.25+K280*0.20+(100-AE280)*0.10+(100-(V280*20))*0.15,0)</x:f>
        <x:v>52</x:v>
      </x:c>
      <x:c r="AG280" s="13" t="str">
        <x:f>IF(AF280&gt;=80,"Batch 1",IF(AF280&gt;=70,"Batch 2",IF(AF280&gt;=60,"Batch 3","Backlog")))</x:f>
        <x:v>Backlog</x:v>
      </x:c>
      <x:c r="AH280" t="inlineStr">
        <x:is>
          <x:t xml:space="preserve"/>
        </x:is>
      </x:c>
    </x:row>
    <x:row r="281">
      <x:c r="A281" s="5" t="inlineStr">
        <x:is>
          <x:t xml:space="preserve">GPO-CAR-21</x:t>
        </x:is>
      </x:c>
      <x:c r="B281" s="5" t="n">
        <x:v>277</x:v>
      </x:c>
      <x:c r="C281" s="5" t="inlineStr">
        <x:is>
          <x:t xml:space="preserve">Career &amp; Job Search</x:t>
        </x:is>
      </x:c>
      <x:c r="D281" s="5" t="inlineStr">
        <x:is>
          <x:t xml:space="preserve">Advance</x:t>
        </x:is>
      </x:c>
      <x:c r="E281" s="5" t="inlineStr">
        <x:is>
          <x:t xml:space="preserve">Stretch 60</x:t>
        </x:is>
      </x:c>
      <x:c r="F281" s="5" t="n">
        <x:v>21</x:v>
      </x:c>
      <x:c r="G281" s="5" t="inlineStr">
        <x:is>
          <x:t xml:space="preserve">Create a role-targeting engine that maps my background to adjacent high-upside opportunities.</x:t>
        </x:is>
      </x:c>
      <x:c r="H281" s="6" t="n">
        <x:v>38</x:v>
      </x:c>
      <x:c r="I281" s="6" t="n">
        <x:v>38</x:v>
      </x:c>
      <x:c r="J281" s="7" t="n">
        <x:v>68</x:v>
      </x:c>
      <x:c r="K281" s="7" t="n">
        <x:v>52</x:v>
      </x:c>
      <x:c r="L281" s="8" t="inlineStr">
        <x:is>
          <x:t xml:space="preserve">UNTESTED</x:t>
        </x:is>
      </x:c>
      <x:c r="M281" s="9" t="inlineStr">
        <x:is>
          <x:t xml:space="preserve">UNTESTED</x:t>
        </x:is>
      </x:c>
      <x:c r="N281" s="5" t="inlineStr">
        <x:is>
          <x:t xml:space="preserve">resume tailoring; interview prep; role mapping; narrative building</x:t>
        </x:is>
      </x:c>
      <x:c r="O281" s="5" t="inlineStr">
        <x:is>
          <x:t xml:space="preserve">Medium</x:t>
        </x:is>
      </x:c>
      <x:c r="P281" s="5" t="inlineStr">
        <x:is>
          <x:t xml:space="preserve">High</x:t>
        </x:is>
      </x:c>
      <x:c r="Q281" s="5" t="inlineStr">
        <x:is>
          <x:t xml:space="preserve">Low</x:t>
        </x:is>
      </x:c>
      <x:c r="R281" s="5" t="inlineStr">
        <x:is>
          <x:t xml:space="preserve">Low</x:t>
        </x:is>
      </x:c>
      <x:c r="S281" s="5" t="inlineStr">
        <x:is>
          <x:t xml:space="preserve">Low</x:t>
        </x:is>
      </x:c>
      <x:c r="T281" s="5" t="inlineStr">
        <x:is>
          <x:t xml:space="preserve">ChatGPT primary</x:t>
        </x:is>
      </x:c>
      <x:c r="U281" s="5" t="inlineStr">
        <x:is>
          <x:t xml:space="preserve">Medium</x:t>
        </x:is>
      </x:c>
      <x:c r="V281" s="10" t="n">
        <x:v>2</x:v>
      </x:c>
      <x:c r="W281" s="5" t="inlineStr">
        <x:is>
          <x:t xml:space="preserve">Artifact review + mock interview + targeting review</x:t>
        </x:is>
      </x:c>
      <x:c r="X281" s="5" t="inlineStr">
        <x:is>
          <x:t xml:space="preserve">resume / prep plan / outreach / strategy memo</x:t>
        </x:is>
      </x:c>
      <x:c r="Y281" s="5" t="inlineStr">
        <x:is>
          <x:t xml:space="preserve">Career outputs are specific, credible, and materially improve positioning.</x:t>
        </x:is>
      </x:c>
      <x:c r="Z281" s="5" t="inlineStr">
        <x:is>
          <x:t xml:space="preserve">Generic resume language, fake-sounding stories, or weak role fit.</x:t>
        </x:is>
      </x:c>
      <x:c r="AA281" s="5" t="inlineStr">
        <x:is>
          <x:t xml:space="preserve">career templates / memory / ATS-aware output logic</x:t>
        </x:is>
      </x:c>
      <x:c r="AB281" s="5" t="inlineStr">
        <x:is>
          <x:t xml:space="preserve"/>
        </x:is>
      </x:c>
      <x:c r="AC281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81" s="5" t="inlineStr">
        <x:is>
          <x:t xml:space="preserve">Insight Global AI in Hiring Report 2025; NACE student survey 2025/2026</x:t>
        </x:is>
      </x:c>
      <x:c r="AE281" s="11">
        <x:f>IF(O281="High",20,IF(O281="Medium",10,IF(O281="Low",5,0)))+IF(P281="High",20,IF(P281="Medium",10,IF(P281="Low",5,0)))+IF(Q281="High",20,IF(Q281="Medium",10,IF(Q281="Low",5,0)))+IF(R281="High",20,IF(R281="Medium",10,IF(R281="Low",5,0)))+IF(S281="High",20,IF(S281="Medium",10,IF(S281="Low",5,0)))</x:f>
        <x:v>45</x:v>
      </x:c>
      <x:c r="AF281" s="12">
        <x:f>ROUND(H281*0.30+J281*0.25+K281*0.20+(100-AE281)*0.10+(100-(V281*20))*0.15,0)</x:f>
        <x:v>53</x:v>
      </x:c>
      <x:c r="AG281" s="13" t="str">
        <x:f>IF(AF281&gt;=80,"Batch 1",IF(AF281&gt;=70,"Batch 2",IF(AF281&gt;=60,"Batch 3","Backlog")))</x:f>
        <x:v>Backlog</x:v>
      </x:c>
      <x:c r="AH281" t="inlineStr">
        <x:is>
          <x:t xml:space="preserve"/>
        </x:is>
      </x:c>
    </x:row>
    <x:row r="282">
      <x:c r="A282" s="5" t="inlineStr">
        <x:is>
          <x:t xml:space="preserve">GPO-MUS-09</x:t>
        </x:is>
      </x:c>
      <x:c r="B282" s="5" t="n">
        <x:v>278</x:v>
      </x:c>
      <x:c r="C282" s="5" t="inlineStr">
        <x:is>
          <x:t xml:space="preserve">Music &amp; Audio Creation</x:t>
        </x:is>
      </x:c>
      <x:c r="D282" s="5" t="inlineStr">
        <x:is>
          <x:t xml:space="preserve">Create</x:t>
        </x:is>
      </x:c>
      <x:c r="E282" s="5" t="inlineStr">
        <x:is>
          <x:t xml:space="preserve">Core 150</x:t>
        </x:is>
      </x:c>
      <x:c r="F282" s="5" t="n">
        <x:v>9</x:v>
      </x:c>
      <x:c r="G282" s="5" t="inlineStr">
        <x:is>
          <x:t xml:space="preserve">Help me make a Telugu/film/pop track that feels modern and emotional.</x:t>
        </x:is>
      </x:c>
      <x:c r="H282" s="6" t="n">
        <x:v>44</x:v>
      </x:c>
      <x:c r="I282" s="6" t="n">
        <x:v>44</x:v>
      </x:c>
      <x:c r="J282" s="7" t="n">
        <x:v>59</x:v>
      </x:c>
      <x:c r="K282" s="7" t="n">
        <x:v>51</x:v>
      </x:c>
      <x:c r="L282" s="8" t="inlineStr">
        <x:is>
          <x:t xml:space="preserve">UNTESTED</x:t>
        </x:is>
      </x:c>
      <x:c r="M282" s="9" t="inlineStr">
        <x:is>
          <x:t xml:space="preserve">UNTESTED</x:t>
        </x:is>
      </x:c>
      <x:c r="N282" s="5" t="inlineStr">
        <x:is>
          <x:t xml:space="preserve">theory help; composition support; practice coaching; audio workflow planning</x:t>
        </x:is>
      </x:c>
      <x:c r="O282" s="5" t="inlineStr">
        <x:is>
          <x:t xml:space="preserve">Low</x:t>
        </x:is>
      </x:c>
      <x:c r="P282" s="5" t="inlineStr">
        <x:is>
          <x:t xml:space="preserve">Medium</x:t>
        </x:is>
      </x:c>
      <x:c r="Q282" s="5" t="inlineStr">
        <x:is>
          <x:t xml:space="preserve">Medium</x:t>
        </x:is>
      </x:c>
      <x:c r="R282" s="5" t="inlineStr">
        <x:is>
          <x:t xml:space="preserve">Low</x:t>
        </x:is>
      </x:c>
      <x:c r="S282" s="5" t="inlineStr">
        <x:is>
          <x:t xml:space="preserve">Medium</x:t>
        </x:is>
      </x:c>
      <x:c r="T282" s="5" t="inlineStr">
        <x:is>
          <x:t xml:space="preserve">ChatGPT/Claude planning + external music tools</x:t>
        </x:is>
      </x:c>
      <x:c r="U282" s="5" t="inlineStr">
        <x:is>
          <x:t xml:space="preserve">Medium</x:t>
        </x:is>
      </x:c>
      <x:c r="V282" s="10" t="n">
        <x:v>2</x:v>
      </x:c>
      <x:c r="W282" s="5" t="inlineStr">
        <x:is>
          <x:t xml:space="preserve">Creative coaching + workflow review</x:t>
        </x:is>
      </x:c>
      <x:c r="X282" s="5" t="inlineStr">
        <x:is>
          <x:t xml:space="preserve">practice plan / composition guide / arrangement brief</x:t>
        </x:is>
      </x:c>
      <x:c r="Y282" s="5" t="inlineStr">
        <x:is>
          <x:t xml:space="preserve">Output helps create or learn music in a concrete, musically coherent way.</x:t>
        </x:is>
      </x:c>
      <x:c r="Z282" s="5" t="inlineStr">
        <x:is>
          <x:t xml:space="preserve">Musically weak suggestions, generic advice, or no usable next step.</x:t>
        </x:is>
      </x:c>
      <x:c r="AA282" s="5" t="inlineStr">
        <x:is>
          <x:t xml:space="preserve">music mode / external tool routing / structured lesson outputs</x:t>
        </x:is>
      </x:c>
      <x:c r="AB282" s="5" t="inlineStr">
        <x:is>
          <x:t xml:space="preserve"/>
        </x:is>
      </x:c>
      <x:c r="AC282" s="5" t="inlineStr">
        <x:is>
          <x:t xml:space="preserve">Music-maker surveys show strong AI usage in parts of workflow, but full-song generation is less appealing; consumer trust remains mixed.</x:t>
        </x:is>
      </x:c>
      <x:c r="AD282" s="5" t="inlineStr">
        <x:is>
          <x:t xml:space="preserve">LANDR study 2025; PRS for Music 2026; Bain media survey 2025</x:t>
        </x:is>
      </x:c>
      <x:c r="AE282" s="11">
        <x:f>IF(O282="High",20,IF(O282="Medium",10,IF(O282="Low",5,0)))+IF(P282="High",20,IF(P282="Medium",10,IF(P282="Low",5,0)))+IF(Q282="High",20,IF(Q282="Medium",10,IF(Q282="Low",5,0)))+IF(R282="High",20,IF(R282="Medium",10,IF(R282="Low",5,0)))+IF(S282="High",20,IF(S282="Medium",10,IF(S282="Low",5,0)))</x:f>
        <x:v>40</x:v>
      </x:c>
      <x:c r="AF282" s="12">
        <x:f>ROUND(H282*0.30+J282*0.25+K282*0.20+(100-AE282)*0.10+(100-(V282*20))*0.15,0)</x:f>
        <x:v>53</x:v>
      </x:c>
      <x:c r="AG282" s="13" t="str">
        <x:f>IF(AF282&gt;=80,"Batch 1",IF(AF282&gt;=70,"Batch 2",IF(AF282&gt;=60,"Batch 3","Backlog")))</x:f>
        <x:v>Backlog</x:v>
      </x:c>
      <x:c r="AH282" t="inlineStr">
        <x:is>
          <x:t xml:space="preserve"/>
        </x:is>
      </x:c>
    </x:row>
    <x:row r="283">
      <x:c r="A283" s="5" t="inlineStr">
        <x:is>
          <x:t xml:space="preserve">GPO-SCH-23</x:t>
        </x:is>
      </x:c>
      <x:c r="B283" s="5" t="n">
        <x:v>279</x:v>
      </x:c>
      <x:c r="C283" s="5" t="inlineStr">
        <x:is>
          <x:t xml:space="preserve">Scheduling &amp; Life Operations</x:t>
        </x:is>
      </x:c>
      <x:c r="D283" s="5" t="inlineStr">
        <x:is>
          <x:t xml:space="preserve">Operate</x:t>
        </x:is>
      </x:c>
      <x:c r="E283" s="5" t="inlineStr">
        <x:is>
          <x:t xml:space="preserve">Stretch 60</x:t>
        </x:is>
      </x:c>
      <x:c r="F283" s="5" t="n">
        <x:v>23</x:v>
      </x:c>
      <x:c r="G283" s="5" t="inlineStr">
        <x:is>
          <x:t xml:space="preserve">Plan a high-output week around sleep, deep work, and travel constraints.</x:t>
        </x:is>
      </x:c>
      <x:c r="H283" s="6" t="n">
        <x:v>40</x:v>
      </x:c>
      <x:c r="I283" s="6" t="n">
        <x:v>40</x:v>
      </x:c>
      <x:c r="J283" s="7" t="n">
        <x:v>64</x:v>
      </x:c>
      <x:c r="K283" s="7" t="n">
        <x:v>51</x:v>
      </x:c>
      <x:c r="L283" s="8" t="inlineStr">
        <x:is>
          <x:t xml:space="preserve">UNTESTED</x:t>
        </x:is>
      </x:c>
      <x:c r="M283" s="9" t="inlineStr">
        <x:is>
          <x:t xml:space="preserve">UNTESTED</x:t>
        </x:is>
      </x:c>
      <x:c r="N283" s="5" t="inlineStr">
        <x:is>
          <x:t xml:space="preserve">task planning; prioritization; calendar reasoning; personal constraints handling</x:t>
        </x:is>
      </x:c>
      <x:c r="O283" s="5" t="inlineStr">
        <x:is>
          <x:t xml:space="preserve">Low</x:t>
        </x:is>
      </x:c>
      <x:c r="P283" s="5" t="inlineStr">
        <x:is>
          <x:t xml:space="preserve">High</x:t>
        </x:is>
      </x:c>
      <x:c r="Q283" s="5" t="inlineStr">
        <x:is>
          <x:t xml:space="preserve">Medium</x:t>
        </x:is>
      </x:c>
      <x:c r="R283" s="5" t="inlineStr">
        <x:is>
          <x:t xml:space="preserve">Low</x:t>
        </x:is>
      </x:c>
      <x:c r="S283" s="5" t="inlineStr">
        <x:is>
          <x:t xml:space="preserve">Low</x:t>
        </x:is>
      </x:c>
      <x:c r="T283" s="5" t="inlineStr">
        <x:is>
          <x:t xml:space="preserve">ChatGPT primary; calendar integrations later</x:t>
        </x:is>
      </x:c>
      <x:c r="U283" s="5" t="inlineStr">
        <x:is>
          <x:t xml:space="preserve">Hard</x:t>
        </x:is>
      </x:c>
      <x:c r="V283" s="10" t="n">
        <x:v>3</x:v>
      </x:c>
      <x:c r="W283" s="5" t="inlineStr">
        <x:is>
          <x:t xml:space="preserve">Scenario-based planning + operator utility review</x:t>
        </x:is>
      </x:c>
      <x:c r="X283" s="5" t="inlineStr">
        <x:is>
          <x:t xml:space="preserve">schedule / checklist / operating plan</x:t>
        </x:is>
      </x:c>
      <x:c r="Y283" s="5" t="inlineStr">
        <x:is>
          <x:t xml:space="preserve">Plan is realistic, prioritized, and executable under stated constraints.</x:t>
        </x:is>
      </x:c>
      <x:c r="Z283" s="5" t="inlineStr">
        <x:is>
          <x:t xml:space="preserve">Overpacked schedule, ignored constraints, or vague next steps.</x:t>
        </x:is>
      </x:c>
      <x:c r="AA283" s="5" t="inlineStr">
        <x:is>
          <x:t xml:space="preserve">planner engine / memory / calendar-tool integration</x:t>
        </x:is>
      </x:c>
      <x:c r="AB283" s="5" t="inlineStr">
        <x:is>
          <x:t xml:space="preserve"/>
        </x:is>
      </x:c>
      <x:c r="AC283" s="5" t="inlineStr">
        <x:is>
          <x:t xml:space="preserve">Menlo consumer AI: 18% use AI to manage to-do lists and 15% to organize notes; Zao-Sanders ranked 'Organise my life' #2.</x:t>
        </x:is>
      </x:c>
      <x:c r="AD283" s="5" t="inlineStr">
        <x:is>
          <x:t xml:space="preserve">Menlo State of Consumer AI 2025; Zao-Sanders Top-100 GenAI Use Cases 2025</x:t>
        </x:is>
      </x:c>
      <x:c r="AE283" s="11">
        <x:f>IF(O283="High",20,IF(O283="Medium",10,IF(O283="Low",5,0)))+IF(P283="High",20,IF(P283="Medium",10,IF(P283="Low",5,0)))+IF(Q283="High",20,IF(Q283="Medium",10,IF(Q283="Low",5,0)))+IF(R283="High",20,IF(R283="Medium",10,IF(R283="Low",5,0)))+IF(S283="High",20,IF(S283="Medium",10,IF(S283="Low",5,0)))</x:f>
        <x:v>45</x:v>
      </x:c>
      <x:c r="AF283" s="12">
        <x:f>ROUND(H283*0.30+J283*0.25+K283*0.20+(100-AE283)*0.10+(100-(V283*20))*0.15,0)</x:f>
        <x:v>50</x:v>
      </x:c>
      <x:c r="AG283" s="13" t="str">
        <x:f>IF(AF283&gt;=80,"Batch 1",IF(AF283&gt;=70,"Batch 2",IF(AF283&gt;=60,"Batch 3","Backlog")))</x:f>
        <x:v>Backlog</x:v>
      </x:c>
      <x:c r="AH283" t="inlineStr">
        <x:is>
          <x:t xml:space="preserve"/>
        </x:is>
      </x:c>
    </x:row>
    <x:row r="284">
      <x:c r="A284" s="5" t="inlineStr">
        <x:is>
          <x:t xml:space="preserve">GPO-STA-21</x:t>
        </x:is>
      </x:c>
      <x:c r="B284" s="5" t="n">
        <x:v>280</x:v>
      </x:c>
      <x:c r="C284" s="5" t="inlineStr">
        <x:is>
          <x:t xml:space="preserve">Startup &amp; Business Builder</x:t>
        </x:is>
      </x:c>
      <x:c r="D284" s="5" t="inlineStr">
        <x:is>
          <x:t xml:space="preserve">Build</x:t>
        </x:is>
      </x:c>
      <x:c r="E284" s="5" t="inlineStr">
        <x:is>
          <x:t xml:space="preserve">Stretch 60</x:t>
        </x:is>
      </x:c>
      <x:c r="F284" s="5" t="n">
        <x:v>21</x:v>
      </x:c>
      <x:c r="G284" s="5" t="inlineStr">
        <x:is>
          <x:t xml:space="preserve">Build a founder decision system that prevents low-signal feature drift.</x:t>
        </x:is>
      </x:c>
      <x:c r="H284" s="6" t="n">
        <x:v>40</x:v>
      </x:c>
      <x:c r="I284" s="6" t="n">
        <x:v>40</x:v>
      </x:c>
      <x:c r="J284" s="7" t="n">
        <x:v>64</x:v>
      </x:c>
      <x:c r="K284" s="7" t="n">
        <x:v>51</x:v>
      </x:c>
      <x:c r="L284" s="8" t="inlineStr">
        <x:is>
          <x:t xml:space="preserve">UNTESTED</x:t>
        </x:is>
      </x:c>
      <x:c r="M284" s="9" t="inlineStr">
        <x:is>
          <x:t xml:space="preserve">UNTESTED</x:t>
        </x:is>
      </x:c>
      <x:c r="N284" s="5" t="inlineStr">
        <x:is>
          <x:t xml:space="preserve">strategy; product thinking; GTM reasoning; structured planning</x:t>
        </x:is>
      </x:c>
      <x:c r="O284" s="5" t="inlineStr">
        <x:is>
          <x:t xml:space="preserve">Medium</x:t>
        </x:is>
      </x:c>
      <x:c r="P284" s="5" t="inlineStr">
        <x:is>
          <x:t xml:space="preserve">High</x:t>
        </x:is>
      </x:c>
      <x:c r="Q284" s="5" t="inlineStr">
        <x:is>
          <x:t xml:space="preserve">Low</x:t>
        </x:is>
      </x:c>
      <x:c r="R284" s="5" t="inlineStr">
        <x:is>
          <x:t xml:space="preserve">Medium</x:t>
        </x:is>
      </x:c>
      <x:c r="S284" s="5" t="inlineStr">
        <x:is>
          <x:t xml:space="preserve">Low</x:t>
        </x:is>
      </x:c>
      <x:c r="T284" s="5" t="inlineStr">
        <x:is>
          <x:t xml:space="preserve">Claude + ChatGPT combo</x:t>
        </x:is>
      </x:c>
      <x:c r="U284" s="5" t="inlineStr">
        <x:is>
          <x:t xml:space="preserve">Hard</x:t>
        </x:is>
      </x:c>
      <x:c r="V284" s="10" t="n">
        <x:v>3</x:v>
      </x:c>
      <x:c r="W284" s="5" t="inlineStr">
        <x:is>
          <x:t xml:space="preserve">Plan generation + critique + strategic review</x:t>
        </x:is>
      </x:c>
      <x:c r="X284" s="5" t="inlineStr">
        <x:is>
          <x:t xml:space="preserve">roadmap / GTM plan / business memo</x:t>
        </x:is>
      </x:c>
      <x:c r="Y284" s="5" t="inlineStr">
        <x:is>
          <x:t xml:space="preserve">Recommendation is strategically sharp, prioritized, and grounded in market reality.</x:t>
        </x:is>
      </x:c>
      <x:c r="Z284" s="5" t="inlineStr">
        <x:is>
          <x:t xml:space="preserve">Buzzwordy output, no wedge, weak prioritization, or unearned confidence.</x:t>
        </x:is>
      </x:c>
      <x:c r="AA284" s="5" t="inlineStr">
        <x:is>
          <x:t xml:space="preserve">strategy templates / board logic / critique loop</x:t>
        </x:is>
      </x:c>
      <x:c r="AB284" s="5" t="inlineStr">
        <x:is>
          <x:t xml:space="preserve"/>
        </x:is>
      </x:c>
      <x:c r="AC284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284" s="5" t="inlineStr">
        <x:is>
          <x:t xml:space="preserve">OpenAI How People Use ChatGPT paper; Menlo State of Consumer AI 2025; Menlo AI UI Problem 2025</x:t>
        </x:is>
      </x:c>
      <x:c r="AE284" s="11">
        <x:f>IF(O284="High",20,IF(O284="Medium",10,IF(O284="Low",5,0)))+IF(P284="High",20,IF(P284="Medium",10,IF(P284="Low",5,0)))+IF(Q284="High",20,IF(Q284="Medium",10,IF(Q284="Low",5,0)))+IF(R284="High",20,IF(R284="Medium",10,IF(R284="Low",5,0)))+IF(S284="High",20,IF(S284="Medium",10,IF(S284="Low",5,0)))</x:f>
        <x:v>50</x:v>
      </x:c>
      <x:c r="AF284" s="12">
        <x:f>ROUND(H284*0.30+J284*0.25+K284*0.20+(100-AE284)*0.10+(100-(V284*20))*0.15,0)</x:f>
        <x:v>49</x:v>
      </x:c>
      <x:c r="AG284" s="13" t="str">
        <x:f>IF(AF284&gt;=80,"Batch 1",IF(AF284&gt;=70,"Batch 2",IF(AF284&gt;=60,"Batch 3","Backlog")))</x:f>
        <x:v>Backlog</x:v>
      </x:c>
      <x:c r="AH284" t="inlineStr">
        <x:is>
          <x:t xml:space="preserve"/>
        </x:is>
      </x:c>
    </x:row>
    <x:row r="285">
      <x:c r="A285" s="5" t="inlineStr">
        <x:is>
          <x:t xml:space="preserve">GPO-FIL-08</x:t>
        </x:is>
      </x:c>
      <x:c r="B285" s="5" t="n">
        <x:v>281</x:v>
      </x:c>
      <x:c r="C285" s="5" t="inlineStr">
        <x:is>
          <x:t xml:space="preserve">Filmmaking &amp; Video Production</x:t>
        </x:is>
      </x:c>
      <x:c r="D285" s="5" t="inlineStr">
        <x:is>
          <x:t xml:space="preserve">Create</x:t>
        </x:is>
      </x:c>
      <x:c r="E285" s="5" t="inlineStr">
        <x:is>
          <x:t xml:space="preserve">Core 150</x:t>
        </x:is>
      </x:c>
      <x:c r="F285" s="5" t="n">
        <x:v>8</x:v>
      </x:c>
      <x:c r="G285" s="5" t="inlineStr">
        <x:is>
          <x:t xml:space="preserve">Tell me what parts of this film should be AI-generated versus human-shot.</x:t>
        </x:is>
      </x:c>
      <x:c r="H285" s="6" t="n">
        <x:v>48</x:v>
      </x:c>
      <x:c r="I285" s="6" t="n">
        <x:v>48</x:v>
      </x:c>
      <x:c r="J285" s="7" t="n">
        <x:v>52</x:v>
      </x:c>
      <x:c r="K285" s="7" t="n">
        <x:v>50</x:v>
      </x:c>
      <x:c r="L285" s="8" t="inlineStr">
        <x:is>
          <x:t xml:space="preserve">UNTESTED</x:t>
        </x:is>
      </x:c>
      <x:c r="M285" s="9" t="inlineStr">
        <x:is>
          <x:t xml:space="preserve">UNTESTED</x:t>
        </x:is>
      </x:c>
      <x:c r="N285" s="5" t="inlineStr">
        <x:is>
          <x:t xml:space="preserve">shot planning; multimodal coordination; tool routing; production workflow</x:t>
        </x:is>
      </x:c>
      <x:c r="O285" s="5" t="inlineStr">
        <x:is>
          <x:t xml:space="preserve">Low</x:t>
        </x:is>
      </x:c>
      <x:c r="P285" s="5" t="inlineStr">
        <x:is>
          <x:t xml:space="preserve">Medium</x:t>
        </x:is>
      </x:c>
      <x:c r="Q285" s="5" t="inlineStr">
        <x:is>
          <x:t xml:space="preserve">High</x:t>
        </x:is>
      </x:c>
      <x:c r="R285" s="5" t="inlineStr">
        <x:is>
          <x:t xml:space="preserve">High</x:t>
        </x:is>
      </x:c>
      <x:c r="S285" s="5" t="inlineStr">
        <x:is>
          <x:t xml:space="preserve">Medium</x:t>
        </x:is>
      </x:c>
      <x:c r="T285" s="5" t="inlineStr">
        <x:is>
          <x:t xml:space="preserve">Claude planning + external video/image tools</x:t>
        </x:is>
      </x:c>
      <x:c r="U285" s="5" t="inlineStr">
        <x:is>
          <x:t xml:space="preserve">Hard</x:t>
        </x:is>
      </x:c>
      <x:c r="V285" s="10" t="n">
        <x:v>3</x:v>
      </x:c>
      <x:c r="W285" s="5" t="inlineStr">
        <x:is>
          <x:t xml:space="preserve">Workflow plan + asset chain review</x:t>
        </x:is>
      </x:c>
      <x:c r="X285" s="5" t="inlineStr">
        <x:is>
          <x:t xml:space="preserve">shot list / storyboard / production workflow / tool stack recommendation</x:t>
        </x:is>
      </x:c>
      <x:c r="Y285" s="5" t="inlineStr">
        <x:is>
          <x:t xml:space="preserve">Workflow is executable with current tools and preserves consistency across assets.</x:t>
        </x:is>
      </x:c>
      <x:c r="Z285" s="5" t="inlineStr">
        <x:is>
          <x:t xml:space="preserve">Ignores tool limits, no consistency strategy, or vague production logic.</x:t>
        </x:is>
      </x:c>
      <x:c r="AA285" s="5" t="inlineStr">
        <x:is>
          <x:t xml:space="preserve">multimodal orchestration / provider routing / asset schema</x:t>
        </x:is>
      </x:c>
      <x:c r="AB285" s="5" t="inlineStr">
        <x:is>
          <x:t xml:space="preserve"/>
        </x:is>
      </x:c>
      <x:c r="AC285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85" s="5" t="inlineStr">
        <x:is>
          <x:t xml:space="preserve">Wondercraft/Digiday creator workflow survey 2025; Artificial Analysis generative media survey 2025; Reuters/Canal+ 2026</x:t>
        </x:is>
      </x:c>
      <x:c r="AE285" s="11">
        <x:f>IF(O285="High",20,IF(O285="Medium",10,IF(O285="Low",5,0)))+IF(P285="High",20,IF(P285="Medium",10,IF(P285="Low",5,0)))+IF(Q285="High",20,IF(Q285="Medium",10,IF(Q285="Low",5,0)))+IF(R285="High",20,IF(R285="Medium",10,IF(R285="Low",5,0)))+IF(S285="High",20,IF(S285="Medium",10,IF(S285="Low",5,0)))</x:f>
        <x:v>65</x:v>
      </x:c>
      <x:c r="AF285" s="12">
        <x:f>ROUND(H285*0.30+J285*0.25+K285*0.20+(100-AE285)*0.10+(100-(V285*20))*0.15,0)</x:f>
        <x:v>47</x:v>
      </x:c>
      <x:c r="AG285" s="13" t="str">
        <x:f>IF(AF285&gt;=80,"Batch 1",IF(AF285&gt;=70,"Batch 2",IF(AF285&gt;=60,"Batch 3","Backlog")))</x:f>
        <x:v>Backlog</x:v>
      </x:c>
      <x:c r="AH285" t="inlineStr">
        <x:is>
          <x:t xml:space="preserve"/>
        </x:is>
      </x:c>
    </x:row>
    <x:row r="286">
      <x:c r="A286" s="5" t="inlineStr">
        <x:is>
          <x:t xml:space="preserve">GPO-PER-21</x:t>
        </x:is>
      </x:c>
      <x:c r="B286" s="5" t="n">
        <x:v>282</x:v>
      </x:c>
      <x:c r="C286" s="5" t="inlineStr">
        <x:is>
          <x:t xml:space="preserve">Personal Finance &amp; Investing</x:t>
        </x:is>
      </x:c>
      <x:c r="D286" s="5" t="inlineStr">
        <x:is>
          <x:t xml:space="preserve">Money</x:t>
        </x:is>
      </x:c>
      <x:c r="E286" s="5" t="inlineStr">
        <x:is>
          <x:t xml:space="preserve">Stretch 60</x:t>
        </x:is>
      </x:c>
      <x:c r="F286" s="5" t="n">
        <x:v>21</x:v>
      </x:c>
      <x:c r="G286" s="5" t="inlineStr">
        <x:is>
          <x:t xml:space="preserve">Create a dashboard that links spending behavior to long-term wealth trajectory.</x:t>
        </x:is>
      </x:c>
      <x:c r="H286" s="6" t="n">
        <x:v>41</x:v>
      </x:c>
      <x:c r="I286" s="6" t="n">
        <x:v>41</x:v>
      </x:c>
      <x:c r="J286" s="7" t="n">
        <x:v>62</x:v>
      </x:c>
      <x:c r="K286" s="7" t="n">
        <x:v>50</x:v>
      </x:c>
      <x:c r="L286" s="8" t="inlineStr">
        <x:is>
          <x:t xml:space="preserve">UNTESTED</x:t>
        </x:is>
      </x:c>
      <x:c r="M286" s="9" t="inlineStr">
        <x:is>
          <x:t xml:space="preserve">UNTESTED</x:t>
        </x:is>
      </x:c>
      <x:c r="N286" s="5" t="inlineStr">
        <x:is>
          <x:t xml:space="preserve">scenario modeling; budgeting; portfolio reasoning; decision framing</x:t>
        </x:is>
      </x:c>
      <x:c r="O286" s="5" t="inlineStr">
        <x:is>
          <x:t xml:space="preserve">Medium</x:t>
        </x:is>
      </x:c>
      <x:c r="P286" s="5" t="inlineStr">
        <x:is>
          <x:t xml:space="preserve">High</x:t>
        </x:is>
      </x:c>
      <x:c r="Q286" s="5" t="inlineStr">
        <x:is>
          <x:t xml:space="preserve">Medium</x:t>
        </x:is>
      </x:c>
      <x:c r="R286" s="5" t="inlineStr">
        <x:is>
          <x:t xml:space="preserve">Low</x:t>
        </x:is>
      </x:c>
      <x:c r="S286" s="5" t="inlineStr">
        <x:is>
          <x:t xml:space="preserve">Medium</x:t>
        </x:is>
      </x:c>
      <x:c r="T286" s="5" t="inlineStr">
        <x:is>
          <x:t xml:space="preserve">ChatGPT or Claude with spreadsheet support</x:t>
        </x:is>
      </x:c>
      <x:c r="U286" s="5" t="inlineStr">
        <x:is>
          <x:t xml:space="preserve">Hard</x:t>
        </x:is>
      </x:c>
      <x:c r="V286" s="10" t="n">
        <x:v>3</x:v>
      </x:c>
      <x:c r="W286" s="5" t="inlineStr">
        <x:is>
          <x:t xml:space="preserve">Scenario modeling + coherence review</x:t>
        </x:is>
      </x:c>
      <x:c r="X286" s="5" t="inlineStr">
        <x:is>
          <x:t xml:space="preserve">budget / model / plan / recommendation</x:t>
        </x:is>
      </x:c>
      <x:c r="Y286" s="5" t="inlineStr">
        <x:is>
          <x:t xml:space="preserve">Advice is numerically coherent, practical, and transparent about assumptions.</x:t>
        </x:is>
      </x:c>
      <x:c r="Z286" s="5" t="inlineStr">
        <x:is>
          <x:t xml:space="preserve">Bad math, missing assumptions, or overconfident investment guidance.</x:t>
        </x:is>
      </x:c>
      <x:c r="AA286" s="5" t="inlineStr">
        <x:is>
          <x:t xml:space="preserve">financial calculator / assumption schema / spreadsheet outputs</x:t>
        </x:is>
      </x:c>
      <x:c r="AB286" s="5" t="inlineStr">
        <x:is>
          <x:t xml:space="preserve"/>
        </x:is>
      </x:c>
      <x:c r="AC286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286" s="5" t="inlineStr">
        <x:is>
          <x:t xml:space="preserve">FNBO Financial Wellbeing Study 2025; NerdWallet/Harris Poll 2026; PlanAdviser 2026</x:t>
        </x:is>
      </x:c>
      <x:c r="AE286" s="11">
        <x:f>IF(O286="High",20,IF(O286="Medium",10,IF(O286="Low",5,0)))+IF(P286="High",20,IF(P286="Medium",10,IF(P286="Low",5,0)))+IF(Q286="High",20,IF(Q286="Medium",10,IF(Q286="Low",5,0)))+IF(R286="High",20,IF(R286="Medium",10,IF(R286="Low",5,0)))+IF(S286="High",20,IF(S286="Medium",10,IF(S286="Low",5,0)))</x:f>
        <x:v>55</x:v>
      </x:c>
      <x:c r="AF286" s="12">
        <x:f>ROUND(H286*0.30+J286*0.25+K286*0.20+(100-AE286)*0.10+(100-(V286*20))*0.15,0)</x:f>
        <x:v>48</x:v>
      </x:c>
      <x:c r="AG286" s="13" t="str">
        <x:f>IF(AF286&gt;=80,"Batch 1",IF(AF286&gt;=70,"Batch 2",IF(AF286&gt;=60,"Batch 3","Backlog")))</x:f>
        <x:v>Backlog</x:v>
      </x:c>
      <x:c r="AH286" t="inlineStr">
        <x:is>
          <x:t xml:space="preserve"/>
        </x:is>
      </x:c>
    </x:row>
    <x:row r="287">
      <x:c r="A287" s="5" t="inlineStr">
        <x:is>
          <x:t xml:space="preserve">GPO-HOM-11</x:t>
        </x:is>
      </x:c>
      <x:c r="B287" s="5" t="n">
        <x:v>283</x:v>
      </x:c>
      <x:c r="C287" s="5" t="inlineStr">
        <x:is>
          <x:t xml:space="preserve">Home &amp; Lifestyle Design</x:t>
        </x:is>
      </x:c>
      <x:c r="D287" s="5" t="inlineStr">
        <x:is>
          <x:t xml:space="preserve">Design</x:t>
        </x:is>
      </x:c>
      <x:c r="E287" s="5" t="inlineStr">
        <x:is>
          <x:t xml:space="preserve">Expansion 150</x:t>
        </x:is>
      </x:c>
      <x:c r="F287" s="5" t="n">
        <x:v>11</x:v>
      </x:c>
      <x:c r="G287" s="5" t="inlineStr">
        <x:is>
          <x:t xml:space="preserve">Tell me how to make a small space feel bigger, calmer, and more premium.</x:t>
        </x:is>
      </x:c>
      <x:c r="H287" s="6" t="n">
        <x:v>38</x:v>
      </x:c>
      <x:c r="I287" s="6" t="n">
        <x:v>38</x:v>
      </x:c>
      <x:c r="J287" s="7" t="n">
        <x:v>66</x:v>
      </x:c>
      <x:c r="K287" s="7" t="n">
        <x:v>51</x:v>
      </x:c>
      <x:c r="L287" s="8" t="inlineStr">
        <x:is>
          <x:t xml:space="preserve">UNTESTED</x:t>
        </x:is>
      </x:c>
      <x:c r="M287" s="9" t="inlineStr">
        <x:is>
          <x:t xml:space="preserve">UNTESTED</x:t>
        </x:is>
      </x:c>
      <x:c r="N287" s="5" t="inlineStr">
        <x:is>
          <x:t xml:space="preserve">space planning; product curation; aesthetic reasoning; phased project planning</x:t>
        </x:is>
      </x:c>
      <x:c r="O287" s="5" t="inlineStr">
        <x:is>
          <x:t xml:space="preserve">Medium</x:t>
        </x:is>
      </x:c>
      <x:c r="P287" s="5" t="inlineStr">
        <x:is>
          <x:t xml:space="preserve">High</x:t>
        </x:is>
      </x:c>
      <x:c r="Q287" s="5" t="inlineStr">
        <x:is>
          <x:t xml:space="preserve">Medium</x:t>
        </x:is>
      </x:c>
      <x:c r="R287" s="5" t="inlineStr">
        <x:is>
          <x:t xml:space="preserve">Low</x:t>
        </x:is>
      </x:c>
      <x:c r="S287" s="5" t="inlineStr">
        <x:is>
          <x:t xml:space="preserve">Low</x:t>
        </x:is>
      </x:c>
      <x:c r="T287" s="5" t="inlineStr">
        <x:is>
          <x:t xml:space="preserve">ChatGPT with web; image/design tools later</x:t>
        </x:is>
      </x:c>
      <x:c r="U287" s="5" t="inlineStr">
        <x:is>
          <x:t xml:space="preserve">Medium</x:t>
        </x:is>
      </x:c>
      <x:c r="V287" s="10" t="n">
        <x:v>2</x:v>
      </x:c>
      <x:c r="W287" s="5" t="inlineStr">
        <x:is>
          <x:t xml:space="preserve">Design brief generation + feasibility review</x:t>
        </x:is>
      </x:c>
      <x:c r="X287" s="5" t="inlineStr">
        <x:is>
          <x:t xml:space="preserve">layout / shopping plan / phased upgrade roadmap</x:t>
        </x:is>
      </x:c>
      <x:c r="Y287" s="5" t="inlineStr">
        <x:is>
          <x:t xml:space="preserve">Design plan feels cohesive, practical, and matched to lifestyle goals.</x:t>
        </x:is>
      </x:c>
      <x:c r="Z287" s="5" t="inlineStr">
        <x:is>
          <x:t xml:space="preserve">Pretty but impractical suggestions, no budget logic, or weak taste alignment.</x:t>
        </x:is>
      </x:c>
      <x:c r="AA287" s="5" t="inlineStr">
        <x:is>
          <x:t xml:space="preserve">design preference memory / shopping integration / image workflow</x:t>
        </x:is>
      </x:c>
      <x:c r="AB287" s="5" t="inlineStr">
        <x:is>
          <x:t xml:space="preserve"/>
        </x:is>
      </x:c>
      <x:c r="AC287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87" s="5" t="inlineStr">
        <x:is>
          <x:t xml:space="preserve">ThinkLab 2025 design benchmark; Houzz 2025 AI in construction &amp; design; Canadian Contractor/Mattoboard survey 2025</x:t>
        </x:is>
      </x:c>
      <x:c r="AE287" s="11">
        <x:f>IF(O287="High",20,IF(O287="Medium",10,IF(O287="Low",5,0)))+IF(P287="High",20,IF(P287="Medium",10,IF(P287="Low",5,0)))+IF(Q287="High",20,IF(Q287="Medium",10,IF(Q287="Low",5,0)))+IF(R287="High",20,IF(R287="Medium",10,IF(R287="Low",5,0)))+IF(S287="High",20,IF(S287="Medium",10,IF(S287="Low",5,0)))</x:f>
        <x:v>50</x:v>
      </x:c>
      <x:c r="AF287" s="12">
        <x:f>ROUND(H287*0.30+J287*0.25+K287*0.20+(100-AE287)*0.10+(100-(V287*20))*0.15,0)</x:f>
        <x:v>52</x:v>
      </x:c>
      <x:c r="AG287" s="13" t="str">
        <x:f>IF(AF287&gt;=80,"Batch 1",IF(AF287&gt;=70,"Batch 2",IF(AF287&gt;=60,"Batch 3","Backlog")))</x:f>
        <x:v>Backlog</x:v>
      </x:c>
      <x:c r="AH287" t="inlineStr">
        <x:is>
          <x:t xml:space="preserve"/>
        </x:is>
      </x:c>
    </x:row>
    <x:row r="288">
      <x:c r="A288" s="5" t="inlineStr">
        <x:is>
          <x:t xml:space="preserve">GPO-HEA-17</x:t>
        </x:is>
      </x:c>
      <x:c r="B288" s="5" t="n">
        <x:v>284</x:v>
      </x:c>
      <x:c r="C288" s="5" t="inlineStr">
        <x:is>
          <x:t xml:space="preserve">Health &amp; Wellness Coach</x:t>
        </x:is>
      </x:c>
      <x:c r="D288" s="5" t="inlineStr">
        <x:is>
          <x:t xml:space="preserve">Care</x:t>
        </x:is>
      </x:c>
      <x:c r="E288" s="5" t="inlineStr">
        <x:is>
          <x:t xml:space="preserve">Expansion 150</x:t>
        </x:is>
      </x:c>
      <x:c r="F288" s="5" t="n">
        <x:v>17</x:v>
      </x:c>
      <x:c r="G288" s="5" t="inlineStr">
        <x:is>
          <x:t xml:space="preserve">Help me build a sustainable walking/cardio routine around work demands.</x:t>
        </x:is>
      </x:c>
      <x:c r="H288" s="6" t="n">
        <x:v>50</x:v>
      </x:c>
      <x:c r="I288" s="6" t="n">
        <x:v>50</x:v>
      </x:c>
      <x:c r="J288" s="7" t="n">
        <x:v>49</x:v>
      </x:c>
      <x:c r="K288" s="7" t="n">
        <x:v>50</x:v>
      </x:c>
      <x:c r="L288" s="8" t="inlineStr">
        <x:is>
          <x:t xml:space="preserve">UNTESTED</x:t>
        </x:is>
      </x:c>
      <x:c r="M288" s="9" t="inlineStr">
        <x:is>
          <x:t xml:space="preserve">UNTESTED</x:t>
        </x:is>
      </x:c>
      <x:c r="N288" s="5" t="inlineStr">
        <x:is>
          <x:t xml:space="preserve">health explanation; risk framing; behavior coaching; careful disclaimer handling</x:t>
        </x:is>
      </x:c>
      <x:c r="O288" s="5" t="inlineStr">
        <x:is>
          <x:t xml:space="preserve">Medium</x:t>
        </x:is>
      </x:c>
      <x:c r="P288" s="5" t="inlineStr">
        <x:is>
          <x:t xml:space="preserve">High</x:t>
        </x:is>
      </x:c>
      <x:c r="Q288" s="5" t="inlineStr">
        <x:is>
          <x:t xml:space="preserve">Low</x:t>
        </x:is>
      </x:c>
      <x:c r="R288" s="5" t="inlineStr">
        <x:is>
          <x:t xml:space="preserve">Low</x:t>
        </x:is>
      </x:c>
      <x:c r="S288" s="5" t="inlineStr">
        <x:is>
          <x:t xml:space="preserve">Medium</x:t>
        </x:is>
      </x:c>
      <x:c r="T288" s="5" t="inlineStr">
        <x:is>
          <x:t xml:space="preserve">ChatGPT primary with careful guardrails</x:t>
        </x:is>
      </x:c>
      <x:c r="U288" s="5" t="inlineStr">
        <x:is>
          <x:t xml:space="preserve">Medium</x:t>
        </x:is>
      </x:c>
      <x:c r="V288" s="10" t="n">
        <x:v>2</x:v>
      </x:c>
      <x:c r="W288" s="5" t="inlineStr">
        <x:is>
          <x:t xml:space="preserve">Scenario prompts + safety review + usefulness review</x:t>
        </x:is>
      </x:c>
      <x:c r="X288" s="5" t="inlineStr">
        <x:is>
          <x:t xml:space="preserve">plan / explanation / checklist / prep brief</x:t>
        </x:is>
      </x:c>
      <x:c r="Y288" s="5" t="inlineStr">
        <x:is>
          <x:t xml:space="preserve">Useful, cautious, practical guidance that stays within safe boundaries.</x:t>
        </x:is>
      </x:c>
      <x:c r="Z288" s="5" t="inlineStr">
        <x:is>
          <x:t xml:space="preserve">Overconfident medical claims, weak escalation guidance, or unsafe advice.</x:t>
        </x:is>
      </x:c>
      <x:c r="AA288" s="5" t="inlineStr">
        <x:is>
          <x:t xml:space="preserve">safety layer / health mode / evidence grounding</x:t>
        </x:is>
      </x:c>
      <x:c r="AB288" s="5" t="inlineStr">
        <x:is>
          <x:t xml:space="preserve"/>
        </x:is>
      </x:c>
      <x:c r="AC288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88" s="5" t="inlineStr">
        <x:is>
          <x:t xml:space="preserve">OpenAI Introducing GPT-5; APPC 2025 health survey; Deloitte Connected Consumer 2025</x:t>
        </x:is>
      </x:c>
      <x:c r="AE288" s="11">
        <x:f>IF(O288="High",20,IF(O288="Medium",10,IF(O288="Low",5,0)))+IF(P288="High",20,IF(P288="Medium",10,IF(P288="Low",5,0)))+IF(Q288="High",20,IF(Q288="Medium",10,IF(Q288="Low",5,0)))+IF(R288="High",20,IF(R288="Medium",10,IF(R288="Low",5,0)))+IF(S288="High",20,IF(S288="Medium",10,IF(S288="Low",5,0)))</x:f>
        <x:v>50</x:v>
      </x:c>
      <x:c r="AF288" s="12">
        <x:f>ROUND(H288*0.30+J288*0.25+K288*0.20+(100-AE288)*0.10+(100-(V288*20))*0.15,0)</x:f>
        <x:v>51</x:v>
      </x:c>
      <x:c r="AG288" s="13" t="str">
        <x:f>IF(AF288&gt;=80,"Batch 1",IF(AF288&gt;=70,"Batch 2",IF(AF288&gt;=60,"Batch 3","Backlog")))</x:f>
        <x:v>Backlog</x:v>
      </x:c>
      <x:c r="AH288" t="inlineStr">
        <x:is>
          <x:t xml:space="preserve"/>
        </x:is>
      </x:c>
    </x:row>
    <x:row r="289">
      <x:c r="A289" s="5" t="inlineStr">
        <x:is>
          <x:t xml:space="preserve">GPO-SCR-17</x:t>
        </x:is>
      </x:c>
      <x:c r="B289" s="5" t="n">
        <x:v>285</x:v>
      </x:c>
      <x:c r="C289" s="5" t="inlineStr">
        <x:is>
          <x:t xml:space="preserve">Screenwriting &amp; Story Development</x:t>
        </x:is>
      </x:c>
      <x:c r="D289" s="5" t="inlineStr">
        <x:is>
          <x:t xml:space="preserve">Create</x:t>
        </x:is>
      </x:c>
      <x:c r="E289" s="5" t="inlineStr">
        <x:is>
          <x:t xml:space="preserve">Expansion 150</x:t>
        </x:is>
      </x:c>
      <x:c r="F289" s="5" t="n">
        <x:v>17</x:v>
      </x:c>
      <x:c r="G289" s="5" t="inlineStr">
        <x:is>
          <x:t xml:space="preserve">Create alternate endings and evaluate which lands best.</x:t>
        </x:is>
      </x:c>
      <x:c r="H289" s="6" t="n">
        <x:v>39</x:v>
      </x:c>
      <x:c r="I289" s="6" t="n">
        <x:v>39</x:v>
      </x:c>
      <x:c r="J289" s="7" t="n">
        <x:v>64</x:v>
      </x:c>
      <x:c r="K289" s="7" t="n">
        <x:v>50</x:v>
      </x:c>
      <x:c r="L289" s="8" t="inlineStr">
        <x:is>
          <x:t xml:space="preserve">UNTESTED</x:t>
        </x:is>
      </x:c>
      <x:c r="M289" s="9" t="inlineStr">
        <x:is>
          <x:t xml:space="preserve">UNTESTED</x:t>
        </x:is>
      </x:c>
      <x:c r="N289" s="5" t="inlineStr">
        <x:is>
          <x:t xml:space="preserve">creative ideation; story structure; tone control; character design</x:t>
        </x:is>
      </x:c>
      <x:c r="O289" s="5" t="inlineStr">
        <x:is>
          <x:t xml:space="preserve">Low</x:t>
        </x:is>
      </x:c>
      <x:c r="P289" s="5" t="inlineStr">
        <x:is>
          <x:t xml:space="preserve">Medium</x:t>
        </x:is>
      </x:c>
      <x:c r="Q289" s="5" t="inlineStr">
        <x:is>
          <x:t xml:space="preserve">Low</x:t>
        </x:is>
      </x:c>
      <x:c r="R289" s="5" t="inlineStr">
        <x:is>
          <x:t xml:space="preserve">Low</x:t>
        </x:is>
      </x:c>
      <x:c r="S289" s="5" t="inlineStr">
        <x:is>
          <x:t xml:space="preserve">Low</x:t>
        </x:is>
      </x:c>
      <x:c r="T289" s="5" t="inlineStr">
        <x:is>
          <x:t xml:space="preserve">ChatGPT or Claude creative mode</x:t>
        </x:is>
      </x:c>
      <x:c r="U289" s="5" t="inlineStr">
        <x:is>
          <x:t xml:space="preserve">Medium</x:t>
        </x:is>
      </x:c>
      <x:c r="V289" s="10" t="n">
        <x:v>2</x:v>
      </x:c>
      <x:c r="W289" s="5" t="inlineStr">
        <x:is>
          <x:t xml:space="preserve">Creative prompt run + human taste review</x:t>
        </x:is>
      </x:c>
      <x:c r="X289" s="5" t="inlineStr">
        <x:is>
          <x:t xml:space="preserve">logline / outline / scene rewrite / treatment</x:t>
        </x:is>
      </x:c>
      <x:c r="Y289" s="5" t="inlineStr">
        <x:is>
          <x:t xml:space="preserve">Story work feels coherent, original, and emotionally alive.</x:t>
        </x:is>
      </x:c>
      <x:c r="Z289" s="5" t="inlineStr">
        <x:is>
          <x:t xml:space="preserve">Cliche ideas, flat dialogue, weak stakes, or no tonal discipline.</x:t>
        </x:is>
      </x:c>
      <x:c r="AA289" s="5" t="inlineStr">
        <x:is>
          <x:t xml:space="preserve">creative mode / style packs / development workflow</x:t>
        </x:is>
      </x:c>
      <x:c r="AB289" s="5" t="inlineStr">
        <x:is>
          <x:t xml:space="preserve"/>
        </x:is>
      </x:c>
      <x:c r="AC289" s="5" t="inlineStr">
        <x:is>
          <x:t xml:space="preserve">OpenAI practical guidance includes creative ideation; creator surveys show broad use of generative AI in creative workflows.</x:t>
        </x:is>
      </x:c>
      <x:c r="AD289" s="5" t="inlineStr">
        <x:is>
          <x:t xml:space="preserve">OpenAI How People Use ChatGPT paper; Adobe creators survey 2025; Wondercraft/Digiday creator workflow survey 2025</x:t>
        </x:is>
      </x:c>
      <x:c r="AE289" s="11">
        <x:f>IF(O289="High",20,IF(O289="Medium",10,IF(O289="Low",5,0)))+IF(P289="High",20,IF(P289="Medium",10,IF(P289="Low",5,0)))+IF(Q289="High",20,IF(Q289="Medium",10,IF(Q289="Low",5,0)))+IF(R289="High",20,IF(R289="Medium",10,IF(R289="Low",5,0)))+IF(S289="High",20,IF(S289="Medium",10,IF(S289="Low",5,0)))</x:f>
        <x:v>30</x:v>
      </x:c>
      <x:c r="AF289" s="12">
        <x:f>ROUND(H289*0.30+J289*0.25+K289*0.20+(100-AE289)*0.10+(100-(V289*20))*0.15,0)</x:f>
        <x:v>54</x:v>
      </x:c>
      <x:c r="AG289" s="13" t="str">
        <x:f>IF(AF289&gt;=80,"Batch 1",IF(AF289&gt;=70,"Batch 2",IF(AF289&gt;=60,"Batch 3","Backlog")))</x:f>
        <x:v>Backlog</x:v>
      </x:c>
      <x:c r="AH289" t="inlineStr">
        <x:is>
          <x:t xml:space="preserve"/>
        </x:is>
      </x:c>
    </x:row>
    <x:row r="290">
      <x:c r="A290" s="5" t="inlineStr">
        <x:is>
          <x:t xml:space="preserve">GPO-TRA-22</x:t>
        </x:is>
      </x:c>
      <x:c r="B290" s="5" t="n">
        <x:v>286</x:v>
      </x:c>
      <x:c r="C290" s="5" t="inlineStr">
        <x:is>
          <x:t xml:space="preserve">Travel &amp; Relocation Planner</x:t>
        </x:is>
      </x:c>
      <x:c r="D290" s="5" t="inlineStr">
        <x:is>
          <x:t xml:space="preserve">Move</x:t>
        </x:is>
      </x:c>
      <x:c r="E290" s="5" t="inlineStr">
        <x:is>
          <x:t xml:space="preserve">Stretch 60</x:t>
        </x:is>
      </x:c>
      <x:c r="F290" s="5" t="n">
        <x:v>22</x:v>
      </x:c>
      <x:c r="G290" s="5" t="inlineStr">
        <x:is>
          <x:t xml:space="preserve">Create a trip plan that optimizes for health, sleep, and productivity rather than just sightseeing.</x:t>
        </x:is>
      </x:c>
      <x:c r="H290" s="6" t="n">
        <x:v>39</x:v>
      </x:c>
      <x:c r="I290" s="6" t="n">
        <x:v>39</x:v>
      </x:c>
      <x:c r="J290" s="7" t="n">
        <x:v>64</x:v>
      </x:c>
      <x:c r="K290" s="7" t="n">
        <x:v>50</x:v>
      </x:c>
      <x:c r="L290" s="8" t="inlineStr">
        <x:is>
          <x:t xml:space="preserve">UNTESTED</x:t>
        </x:is>
      </x:c>
      <x:c r="M290" s="9" t="inlineStr">
        <x:is>
          <x:t xml:space="preserve">UNTESTED</x:t>
        </x:is>
      </x:c>
      <x:c r="N290" s="5" t="inlineStr">
        <x:is>
          <x:t xml:space="preserve">travel research; itinerary planning; logistics reasoning; contingency planning</x:t>
        </x:is>
      </x:c>
      <x:c r="O290" s="5" t="inlineStr">
        <x:is>
          <x:t xml:space="preserve">High</x:t>
        </x:is>
      </x:c>
      <x:c r="P290" s="5" t="inlineStr">
        <x:is>
          <x:t xml:space="preserve">Medium</x:t>
        </x:is>
      </x:c>
      <x:c r="Q290" s="5" t="inlineStr">
        <x:is>
          <x:t xml:space="preserve">Medium</x:t>
        </x:is>
      </x:c>
      <x:c r="R290" s="5" t="inlineStr">
        <x:is>
          <x:t xml:space="preserve">Low</x:t>
        </x:is>
      </x:c>
      <x:c r="S290" s="5" t="inlineStr">
        <x:is>
          <x:t xml:space="preserve">Low</x:t>
        </x:is>
      </x:c>
      <x:c r="T290" s="5" t="inlineStr">
        <x:is>
          <x:t xml:space="preserve">ChatGPT with web; maps/calendar later</x:t>
        </x:is>
      </x:c>
      <x:c r="U290" s="5" t="inlineStr">
        <x:is>
          <x:t xml:space="preserve">Hard</x:t>
        </x:is>
      </x:c>
      <x:c r="V290" s="10" t="n">
        <x:v>3</x:v>
      </x:c>
      <x:c r="W290" s="5" t="inlineStr">
        <x:is>
          <x:t xml:space="preserve">Live trip planning + feasibility review</x:t>
        </x:is>
      </x:c>
      <x:c r="X290" s="5" t="inlineStr">
        <x:is>
          <x:t xml:space="preserve">itinerary / relocation plan / checklist</x:t>
        </x:is>
      </x:c>
      <x:c r="Y290" s="5" t="inlineStr">
        <x:is>
          <x:t xml:space="preserve">Plan is current, geographically sensible, and tuned to budget/constraints.</x:t>
        </x:is>
      </x:c>
      <x:c r="Z290" s="5" t="inlineStr">
        <x:is>
          <x:t xml:space="preserve">Bad logistics, stale info, wrong timing, or generic travel advice.</x:t>
        </x:is>
      </x:c>
      <x:c r="AA290" s="5" t="inlineStr">
        <x:is>
          <x:t xml:space="preserve">travel templates / web + mapping integration / logistics engine</x:t>
        </x:is>
      </x:c>
      <x:c r="AB290" s="5" t="inlineStr">
        <x:is>
          <x:t xml:space="preserve"/>
        </x:is>
      </x:c>
      <x:c r="AC290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290" s="5" t="inlineStr">
        <x:is>
          <x:t xml:space="preserve">Deloitte Connected Consumer 2025; Adobe travel planning 2025</x:t>
        </x:is>
      </x:c>
      <x:c r="AE290" s="11">
        <x:f>IF(O290="High",20,IF(O290="Medium",10,IF(O290="Low",5,0)))+IF(P290="High",20,IF(P290="Medium",10,IF(P290="Low",5,0)))+IF(Q290="High",20,IF(Q290="Medium",10,IF(Q290="Low",5,0)))+IF(R290="High",20,IF(R290="Medium",10,IF(R290="Low",5,0)))+IF(S290="High",20,IF(S290="Medium",10,IF(S290="Low",5,0)))</x:f>
        <x:v>50</x:v>
      </x:c>
      <x:c r="AF290" s="12">
        <x:f>ROUND(H290*0.30+J290*0.25+K290*0.20+(100-AE290)*0.10+(100-(V290*20))*0.15,0)</x:f>
        <x:v>49</x:v>
      </x:c>
      <x:c r="AG290" s="13" t="str">
        <x:f>IF(AF290&gt;=80,"Batch 1",IF(AF290&gt;=70,"Batch 2",IF(AF290&gt;=60,"Batch 3","Backlog")))</x:f>
        <x:v>Backlog</x:v>
      </x:c>
      <x:c r="AH290" t="inlineStr">
        <x:is>
          <x:t xml:space="preserve"/>
        </x:is>
      </x:c>
    </x:row>
    <x:row r="291">
      <x:c r="A291" s="5" t="inlineStr">
        <x:is>
          <x:t xml:space="preserve">GPO-MUS-10</x:t>
        </x:is>
      </x:c>
      <x:c r="B291" s="5" t="n">
        <x:v>287</x:v>
      </x:c>
      <x:c r="C291" s="5" t="inlineStr">
        <x:is>
          <x:t xml:space="preserve">Music &amp; Audio Creation</x:t>
        </x:is>
      </x:c>
      <x:c r="D291" s="5" t="inlineStr">
        <x:is>
          <x:t xml:space="preserve">Create</x:t>
        </x:is>
      </x:c>
      <x:c r="E291" s="5" t="inlineStr">
        <x:is>
          <x:t xml:space="preserve">Core 150</x:t>
        </x:is>
      </x:c>
      <x:c r="F291" s="5" t="n">
        <x:v>10</x:v>
      </x:c>
      <x:c r="G291" s="5" t="inlineStr">
        <x:is>
          <x:t xml:space="preserve">Build a daily ear-training and rhythm program for me.</x:t>
        </x:is>
      </x:c>
      <x:c r="H291" s="6" t="n">
        <x:v>43</x:v>
      </x:c>
      <x:c r="I291" s="6" t="n">
        <x:v>43</x:v>
      </x:c>
      <x:c r="J291" s="7" t="n">
        <x:v>58</x:v>
      </x:c>
      <x:c r="K291" s="7" t="n">
        <x:v>50</x:v>
      </x:c>
      <x:c r="L291" s="8" t="inlineStr">
        <x:is>
          <x:t xml:space="preserve">UNTESTED</x:t>
        </x:is>
      </x:c>
      <x:c r="M291" s="9" t="inlineStr">
        <x:is>
          <x:t xml:space="preserve">UNTESTED</x:t>
        </x:is>
      </x:c>
      <x:c r="N291" s="5" t="inlineStr">
        <x:is>
          <x:t xml:space="preserve">theory help; composition support; practice coaching; audio workflow planning</x:t>
        </x:is>
      </x:c>
      <x:c r="O291" s="5" t="inlineStr">
        <x:is>
          <x:t xml:space="preserve">Low</x:t>
        </x:is>
      </x:c>
      <x:c r="P291" s="5" t="inlineStr">
        <x:is>
          <x:t xml:space="preserve">Medium</x:t>
        </x:is>
      </x:c>
      <x:c r="Q291" s="5" t="inlineStr">
        <x:is>
          <x:t xml:space="preserve">Medium</x:t>
        </x:is>
      </x:c>
      <x:c r="R291" s="5" t="inlineStr">
        <x:is>
          <x:t xml:space="preserve">Low</x:t>
        </x:is>
      </x:c>
      <x:c r="S291" s="5" t="inlineStr">
        <x:is>
          <x:t xml:space="preserve">Medium</x:t>
        </x:is>
      </x:c>
      <x:c r="T291" s="5" t="inlineStr">
        <x:is>
          <x:t xml:space="preserve">ChatGPT/Claude planning + external music tools</x:t>
        </x:is>
      </x:c>
      <x:c r="U291" s="5" t="inlineStr">
        <x:is>
          <x:t xml:space="preserve">Medium</x:t>
        </x:is>
      </x:c>
      <x:c r="V291" s="10" t="n">
        <x:v>2</x:v>
      </x:c>
      <x:c r="W291" s="5" t="inlineStr">
        <x:is>
          <x:t xml:space="preserve">Creative coaching + workflow review</x:t>
        </x:is>
      </x:c>
      <x:c r="X291" s="5" t="inlineStr">
        <x:is>
          <x:t xml:space="preserve">practice plan / composition guide / arrangement brief</x:t>
        </x:is>
      </x:c>
      <x:c r="Y291" s="5" t="inlineStr">
        <x:is>
          <x:t xml:space="preserve">Output helps create or learn music in a concrete, musically coherent way.</x:t>
        </x:is>
      </x:c>
      <x:c r="Z291" s="5" t="inlineStr">
        <x:is>
          <x:t xml:space="preserve">Musically weak suggestions, generic advice, or no usable next step.</x:t>
        </x:is>
      </x:c>
      <x:c r="AA291" s="5" t="inlineStr">
        <x:is>
          <x:t xml:space="preserve">music mode / external tool routing / structured lesson outputs</x:t>
        </x:is>
      </x:c>
      <x:c r="AB291" s="5" t="inlineStr">
        <x:is>
          <x:t xml:space="preserve"/>
        </x:is>
      </x:c>
      <x:c r="AC291" s="5" t="inlineStr">
        <x:is>
          <x:t xml:space="preserve">Music-maker surveys show strong AI usage in parts of workflow, but full-song generation is less appealing; consumer trust remains mixed.</x:t>
        </x:is>
      </x:c>
      <x:c r="AD291" s="5" t="inlineStr">
        <x:is>
          <x:t xml:space="preserve">LANDR study 2025; PRS for Music 2026; Bain media survey 2025</x:t>
        </x:is>
      </x:c>
      <x:c r="AE291" s="11">
        <x:f>IF(O291="High",20,IF(O291="Medium",10,IF(O291="Low",5,0)))+IF(P291="High",20,IF(P291="Medium",10,IF(P291="Low",5,0)))+IF(Q291="High",20,IF(Q291="Medium",10,IF(Q291="Low",5,0)))+IF(R291="High",20,IF(R291="Medium",10,IF(R291="Low",5,0)))+IF(S291="High",20,IF(S291="Medium",10,IF(S291="Low",5,0)))</x:f>
        <x:v>40</x:v>
      </x:c>
      <x:c r="AF291" s="12">
        <x:f>ROUND(H291*0.30+J291*0.25+K291*0.20+(100-AE291)*0.10+(100-(V291*20))*0.15,0)</x:f>
        <x:v>52</x:v>
      </x:c>
      <x:c r="AG291" s="13" t="str">
        <x:f>IF(AF291&gt;=80,"Batch 1",IF(AF291&gt;=70,"Batch 2",IF(AF291&gt;=60,"Batch 3","Backlog")))</x:f>
        <x:v>Backlog</x:v>
      </x:c>
      <x:c r="AH291" t="inlineStr">
        <x:is>
          <x:t xml:space="preserve"/>
        </x:is>
      </x:c>
    </x:row>
    <x:row r="292">
      <x:c r="A292" s="5" t="inlineStr">
        <x:is>
          <x:t xml:space="preserve">GPO-CAR-22</x:t>
        </x:is>
      </x:c>
      <x:c r="B292" s="5" t="n">
        <x:v>288</x:v>
      </x:c>
      <x:c r="C292" s="5" t="inlineStr">
        <x:is>
          <x:t xml:space="preserve">Career &amp; Job Search</x:t>
        </x:is>
      </x:c>
      <x:c r="D292" s="5" t="inlineStr">
        <x:is>
          <x:t xml:space="preserve">Advance</x:t>
        </x:is>
      </x:c>
      <x:c r="E292" s="5" t="inlineStr">
        <x:is>
          <x:t xml:space="preserve">Stretch 60</x:t>
        </x:is>
      </x:c>
      <x:c r="F292" s="5" t="n">
        <x:v>22</x:v>
      </x:c>
      <x:c r="G292" s="5" t="inlineStr">
        <x:is>
          <x:t xml:space="preserve">Build a weekly job-search operating system with networking, prep, outreach, and follow-through.</x:t>
        </x:is>
      </x:c>
      <x:c r="H292" s="6" t="n">
        <x:v>38</x:v>
      </x:c>
      <x:c r="I292" s="6" t="n">
        <x:v>38</x:v>
      </x:c>
      <x:c r="J292" s="7" t="n">
        <x:v>65</x:v>
      </x:c>
      <x:c r="K292" s="7" t="n">
        <x:v>50</x:v>
      </x:c>
      <x:c r="L292" s="8" t="inlineStr">
        <x:is>
          <x:t xml:space="preserve">UNTESTED</x:t>
        </x:is>
      </x:c>
      <x:c r="M292" s="9" t="inlineStr">
        <x:is>
          <x:t xml:space="preserve">UNTESTED</x:t>
        </x:is>
      </x:c>
      <x:c r="N292" s="5" t="inlineStr">
        <x:is>
          <x:t xml:space="preserve">resume tailoring; interview prep; role mapping; narrative building</x:t>
        </x:is>
      </x:c>
      <x:c r="O292" s="5" t="inlineStr">
        <x:is>
          <x:t xml:space="preserve">Medium</x:t>
        </x:is>
      </x:c>
      <x:c r="P292" s="5" t="inlineStr">
        <x:is>
          <x:t xml:space="preserve">High</x:t>
        </x:is>
      </x:c>
      <x:c r="Q292" s="5" t="inlineStr">
        <x:is>
          <x:t xml:space="preserve">Low</x:t>
        </x:is>
      </x:c>
      <x:c r="R292" s="5" t="inlineStr">
        <x:is>
          <x:t xml:space="preserve">Low</x:t>
        </x:is>
      </x:c>
      <x:c r="S292" s="5" t="inlineStr">
        <x:is>
          <x:t xml:space="preserve">Low</x:t>
        </x:is>
      </x:c>
      <x:c r="T292" s="5" t="inlineStr">
        <x:is>
          <x:t xml:space="preserve">ChatGPT primary</x:t>
        </x:is>
      </x:c>
      <x:c r="U292" s="5" t="inlineStr">
        <x:is>
          <x:t xml:space="preserve">Hard</x:t>
        </x:is>
      </x:c>
      <x:c r="V292" s="10" t="n">
        <x:v>3</x:v>
      </x:c>
      <x:c r="W292" s="5" t="inlineStr">
        <x:is>
          <x:t xml:space="preserve">Artifact review + mock interview + targeting review</x:t>
        </x:is>
      </x:c>
      <x:c r="X292" s="5" t="inlineStr">
        <x:is>
          <x:t xml:space="preserve">resume / prep plan / outreach / strategy memo</x:t>
        </x:is>
      </x:c>
      <x:c r="Y292" s="5" t="inlineStr">
        <x:is>
          <x:t xml:space="preserve">Career outputs are specific, credible, and materially improve positioning.</x:t>
        </x:is>
      </x:c>
      <x:c r="Z292" s="5" t="inlineStr">
        <x:is>
          <x:t xml:space="preserve">Generic resume language, fake-sounding stories, or weak role fit.</x:t>
        </x:is>
      </x:c>
      <x:c r="AA292" s="5" t="inlineStr">
        <x:is>
          <x:t xml:space="preserve">career templates / memory / ATS-aware output logic</x:t>
        </x:is>
      </x:c>
      <x:c r="AB292" s="5" t="inlineStr">
        <x:is>
          <x:t xml:space="preserve"/>
        </x:is>
      </x:c>
      <x:c r="AC292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292" s="5" t="inlineStr">
        <x:is>
          <x:t xml:space="preserve">Insight Global AI in Hiring Report 2025; NACE student survey 2025/2026</x:t>
        </x:is>
      </x:c>
      <x:c r="AE292" s="11">
        <x:f>IF(O292="High",20,IF(O292="Medium",10,IF(O292="Low",5,0)))+IF(P292="High",20,IF(P292="Medium",10,IF(P292="Low",5,0)))+IF(Q292="High",20,IF(Q292="Medium",10,IF(Q292="Low",5,0)))+IF(R292="High",20,IF(R292="Medium",10,IF(R292="Low",5,0)))+IF(S292="High",20,IF(S292="Medium",10,IF(S292="Low",5,0)))</x:f>
        <x:v>45</x:v>
      </x:c>
      <x:c r="AF292" s="12">
        <x:f>ROUND(H292*0.30+J292*0.25+K292*0.20+(100-AE292)*0.10+(100-(V292*20))*0.15,0)</x:f>
        <x:v>49</x:v>
      </x:c>
      <x:c r="AG292" s="13" t="str">
        <x:f>IF(AF292&gt;=80,"Batch 1",IF(AF292&gt;=70,"Batch 2",IF(AF292&gt;=60,"Batch 3","Backlog")))</x:f>
        <x:v>Backlog</x:v>
      </x:c>
      <x:c r="AH292" t="inlineStr">
        <x:is>
          <x:t xml:space="preserve"/>
        </x:is>
      </x:c>
    </x:row>
    <x:row r="293">
      <x:c r="A293" s="5" t="inlineStr">
        <x:is>
          <x:t xml:space="preserve">GPO-LEA-24</x:t>
        </x:is>
      </x:c>
      <x:c r="B293" s="5" t="n">
        <x:v>289</x:v>
      </x:c>
      <x:c r="C293" s="5" t="inlineStr">
        <x:is>
          <x:t xml:space="preserve">Learning &amp; Tutoring</x:t>
        </x:is>
      </x:c>
      <x:c r="D293" s="5" t="inlineStr">
        <x:is>
          <x:t xml:space="preserve">Grow</x:t>
        </x:is>
      </x:c>
      <x:c r="E293" s="5" t="inlineStr">
        <x:is>
          <x:t xml:space="preserve">Stretch 60</x:t>
        </x:is>
      </x:c>
      <x:c r="F293" s="5" t="n">
        <x:v>24</x:v>
      </x:c>
      <x:c r="G293" s="5" t="inlineStr">
        <x:is>
          <x:t xml:space="preserve">Teach me a topic by connecting it to my current projects and long-term goals.</x:t>
        </x:is>
      </x:c>
      <x:c r="H293" s="6" t="n">
        <x:v>38</x:v>
      </x:c>
      <x:c r="I293" s="6" t="n">
        <x:v>38</x:v>
      </x:c>
      <x:c r="J293" s="7" t="n">
        <x:v>65</x:v>
      </x:c>
      <x:c r="K293" s="7" t="n">
        <x:v>50</x:v>
      </x:c>
      <x:c r="L293" s="8" t="inlineStr">
        <x:is>
          <x:t xml:space="preserve">UNTESTED</x:t>
        </x:is>
      </x:c>
      <x:c r="M293" s="9" t="inlineStr">
        <x:is>
          <x:t xml:space="preserve">UNTESTED</x:t>
        </x:is>
      </x:c>
      <x:c r="N293" s="5" t="inlineStr">
        <x:is>
          <x:t xml:space="preserve">adaptive tutoring; curriculum planning; quiz generation; context retention</x:t>
        </x:is>
      </x:c>
      <x:c r="O293" s="5" t="inlineStr">
        <x:is>
          <x:t xml:space="preserve">Low</x:t>
        </x:is>
      </x:c>
      <x:c r="P293" s="5" t="inlineStr">
        <x:is>
          <x:t xml:space="preserve">High</x:t>
        </x:is>
      </x:c>
      <x:c r="Q293" s="5" t="inlineStr">
        <x:is>
          <x:t xml:space="preserve">Low</x:t>
        </x:is>
      </x:c>
      <x:c r="R293" s="5" t="inlineStr">
        <x:is>
          <x:t xml:space="preserve">Low</x:t>
        </x:is>
      </x:c>
      <x:c r="S293" s="5" t="inlineStr">
        <x:is>
          <x:t xml:space="preserve">Low</x:t>
        </x:is>
      </x:c>
      <x:c r="T293" s="5" t="inlineStr">
        <x:is>
          <x:t xml:space="preserve">ChatGPT primary</x:t>
        </x:is>
      </x:c>
      <x:c r="U293" s="5" t="inlineStr">
        <x:is>
          <x:t xml:space="preserve">Hard</x:t>
        </x:is>
      </x:c>
      <x:c r="V293" s="10" t="n">
        <x:v>3</x:v>
      </x:c>
      <x:c r="W293" s="5" t="inlineStr">
        <x:is>
          <x:t xml:space="preserve">Interactive tutoring session + quality review</x:t>
        </x:is>
      </x:c>
      <x:c r="X293" s="5" t="inlineStr">
        <x:is>
          <x:t xml:space="preserve">lesson / plan / quiz / explanation</x:t>
        </x:is>
      </x:c>
      <x:c r="Y293" s="5" t="inlineStr">
        <x:is>
          <x:t xml:space="preserve">Teaching is accurate, adaptive, and improves understanding rather than over-answering.</x:t>
        </x:is>
      </x:c>
      <x:c r="Z293" s="5" t="inlineStr">
        <x:is>
          <x:t xml:space="preserve">Wrong explanations, over-helping, no adaptation, or generic curriculum.</x:t>
        </x:is>
      </x:c>
      <x:c r="AA293" s="5" t="inlineStr">
        <x:is>
          <x:t xml:space="preserve">tutor mode / memory / scaffolding logic</x:t>
        </x:is>
      </x:c>
      <x:c r="AB293" s="5" t="inlineStr">
        <x:is>
          <x:t xml:space="preserve"/>
        </x:is>
      </x:c>
      <x:c r="AC293" s="5" t="inlineStr">
        <x:is>
          <x:t xml:space="preserve">OpenAI practical guidance includes tutoring; HEPI 2025 says 88% of students use GenAI for assessments, often to explain concepts and summarize articles.</x:t>
        </x:is>
      </x:c>
      <x:c r="AD293" s="5" t="inlineStr">
        <x:is>
          <x:t xml:space="preserve">OpenAI How People Use ChatGPT paper; HEPI Student Generative AI Survey 2025; Brookings 2026 tutoring article</x:t>
        </x:is>
      </x:c>
      <x:c r="AE293" s="11">
        <x:f>IF(O293="High",20,IF(O293="Medium",10,IF(O293="Low",5,0)))+IF(P293="High",20,IF(P293="Medium",10,IF(P293="Low",5,0)))+IF(Q293="High",20,IF(Q293="Medium",10,IF(Q293="Low",5,0)))+IF(R293="High",20,IF(R293="Medium",10,IF(R293="Low",5,0)))+IF(S293="High",20,IF(S293="Medium",10,IF(S293="Low",5,0)))</x:f>
        <x:v>40</x:v>
      </x:c>
      <x:c r="AF293" s="12">
        <x:f>ROUND(H293*0.30+J293*0.25+K293*0.20+(100-AE293)*0.10+(100-(V293*20))*0.15,0)</x:f>
        <x:v>50</x:v>
      </x:c>
      <x:c r="AG293" s="13" t="str">
        <x:f>IF(AF293&gt;=80,"Batch 1",IF(AF293&gt;=70,"Batch 2",IF(AF293&gt;=60,"Batch 3","Backlog")))</x:f>
        <x:v>Backlog</x:v>
      </x:c>
      <x:c r="AH293" t="inlineStr">
        <x:is>
          <x:t xml:space="preserve"/>
        </x:is>
      </x:c>
    </x:row>
    <x:row r="294">
      <x:c r="A294" s="5" t="inlineStr">
        <x:is>
          <x:t xml:space="preserve">GPO-FIL-09</x:t>
        </x:is>
      </x:c>
      <x:c r="B294" s="5" t="n">
        <x:v>290</x:v>
      </x:c>
      <x:c r="C294" s="5" t="inlineStr">
        <x:is>
          <x:t xml:space="preserve">Filmmaking &amp; Video Production</x:t>
        </x:is>
      </x:c>
      <x:c r="D294" s="5" t="inlineStr">
        <x:is>
          <x:t xml:space="preserve">Create</x:t>
        </x:is>
      </x:c>
      <x:c r="E294" s="5" t="inlineStr">
        <x:is>
          <x:t xml:space="preserve">Core 150</x:t>
        </x:is>
      </x:c>
      <x:c r="F294" s="5" t="n">
        <x:v>9</x:v>
      </x:c>
      <x:c r="G294" s="5" t="inlineStr">
        <x:is>
          <x:t xml:space="preserve">Help me create a trailer/teaser plan that maximizes intrigue.</x:t>
        </x:is>
      </x:c>
      <x:c r="H294" s="6" t="n">
        <x:v>47</x:v>
      </x:c>
      <x:c r="I294" s="6" t="n">
        <x:v>47</x:v>
      </x:c>
      <x:c r="J294" s="7" t="n">
        <x:v>52</x:v>
      </x:c>
      <x:c r="K294" s="7" t="n">
        <x:v>49</x:v>
      </x:c>
      <x:c r="L294" s="8" t="inlineStr">
        <x:is>
          <x:t xml:space="preserve">UNTESTED</x:t>
        </x:is>
      </x:c>
      <x:c r="M294" s="9" t="inlineStr">
        <x:is>
          <x:t xml:space="preserve">UNTESTED</x:t>
        </x:is>
      </x:c>
      <x:c r="N294" s="5" t="inlineStr">
        <x:is>
          <x:t xml:space="preserve">shot planning; multimodal coordination; tool routing; production workflow</x:t>
        </x:is>
      </x:c>
      <x:c r="O294" s="5" t="inlineStr">
        <x:is>
          <x:t xml:space="preserve">Low</x:t>
        </x:is>
      </x:c>
      <x:c r="P294" s="5" t="inlineStr">
        <x:is>
          <x:t xml:space="preserve">Medium</x:t>
        </x:is>
      </x:c>
      <x:c r="Q294" s="5" t="inlineStr">
        <x:is>
          <x:t xml:space="preserve">High</x:t>
        </x:is>
      </x:c>
      <x:c r="R294" s="5" t="inlineStr">
        <x:is>
          <x:t xml:space="preserve">High</x:t>
        </x:is>
      </x:c>
      <x:c r="S294" s="5" t="inlineStr">
        <x:is>
          <x:t xml:space="preserve">Medium</x:t>
        </x:is>
      </x:c>
      <x:c r="T294" s="5" t="inlineStr">
        <x:is>
          <x:t xml:space="preserve">Claude planning + external video/image tools</x:t>
        </x:is>
      </x:c>
      <x:c r="U294" s="5" t="inlineStr">
        <x:is>
          <x:t xml:space="preserve">Hard</x:t>
        </x:is>
      </x:c>
      <x:c r="V294" s="10" t="n">
        <x:v>3</x:v>
      </x:c>
      <x:c r="W294" s="5" t="inlineStr">
        <x:is>
          <x:t xml:space="preserve">Workflow plan + asset chain review</x:t>
        </x:is>
      </x:c>
      <x:c r="X294" s="5" t="inlineStr">
        <x:is>
          <x:t xml:space="preserve">shot list / storyboard / production workflow / tool stack recommendation</x:t>
        </x:is>
      </x:c>
      <x:c r="Y294" s="5" t="inlineStr">
        <x:is>
          <x:t xml:space="preserve">Workflow is executable with current tools and preserves consistency across assets.</x:t>
        </x:is>
      </x:c>
      <x:c r="Z294" s="5" t="inlineStr">
        <x:is>
          <x:t xml:space="preserve">Ignores tool limits, no consistency strategy, or vague production logic.</x:t>
        </x:is>
      </x:c>
      <x:c r="AA294" s="5" t="inlineStr">
        <x:is>
          <x:t xml:space="preserve">multimodal orchestration / provider routing / asset schema</x:t>
        </x:is>
      </x:c>
      <x:c r="AB294" s="5" t="inlineStr">
        <x:is>
          <x:t xml:space="preserve"/>
        </x:is>
      </x:c>
      <x:c r="AC294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294" s="5" t="inlineStr">
        <x:is>
          <x:t xml:space="preserve">Wondercraft/Digiday creator workflow survey 2025; Artificial Analysis generative media survey 2025; Reuters/Canal+ 2026</x:t>
        </x:is>
      </x:c>
      <x:c r="AE294" s="11">
        <x:f>IF(O294="High",20,IF(O294="Medium",10,IF(O294="Low",5,0)))+IF(P294="High",20,IF(P294="Medium",10,IF(P294="Low",5,0)))+IF(Q294="High",20,IF(Q294="Medium",10,IF(Q294="Low",5,0)))+IF(R294="High",20,IF(R294="Medium",10,IF(R294="Low",5,0)))+IF(S294="High",20,IF(S294="Medium",10,IF(S294="Low",5,0)))</x:f>
        <x:v>65</x:v>
      </x:c>
      <x:c r="AF294" s="12">
        <x:f>ROUND(H294*0.30+J294*0.25+K294*0.20+(100-AE294)*0.10+(100-(V294*20))*0.15,0)</x:f>
        <x:v>46</x:v>
      </x:c>
      <x:c r="AG294" s="13" t="str">
        <x:f>IF(AF294&gt;=80,"Batch 1",IF(AF294&gt;=70,"Batch 2",IF(AF294&gt;=60,"Batch 3","Backlog")))</x:f>
        <x:v>Backlog</x:v>
      </x:c>
      <x:c r="AH294" t="inlineStr">
        <x:is>
          <x:t xml:space="preserve"/>
        </x:is>
      </x:c>
    </x:row>
    <x:row r="295">
      <x:c r="A295" s="5" t="inlineStr">
        <x:is>
          <x:t xml:space="preserve">GPO-HOM-12</x:t>
        </x:is>
      </x:c>
      <x:c r="B295" s="5" t="n">
        <x:v>291</x:v>
      </x:c>
      <x:c r="C295" s="5" t="inlineStr">
        <x:is>
          <x:t xml:space="preserve">Home &amp; Lifestyle Design</x:t>
        </x:is>
      </x:c>
      <x:c r="D295" s="5" t="inlineStr">
        <x:is>
          <x:t xml:space="preserve">Design</x:t>
        </x:is>
      </x:c>
      <x:c r="E295" s="5" t="inlineStr">
        <x:is>
          <x:t xml:space="preserve">Expansion 150</x:t>
        </x:is>
      </x:c>
      <x:c r="F295" s="5" t="n">
        <x:v>12</x:v>
      </x:c>
      <x:c r="G295" s="5" t="inlineStr">
        <x:is>
          <x:t xml:space="preserve">Plan lighting layers for mood, productivity, and cinematic ambiance.</x:t>
        </x:is>
      </x:c>
      <x:c r="H295" s="6" t="n">
        <x:v>37</x:v>
      </x:c>
      <x:c r="I295" s="6" t="n">
        <x:v>37</x:v>
      </x:c>
      <x:c r="J295" s="7" t="n">
        <x:v>65</x:v>
      </x:c>
      <x:c r="K295" s="7" t="n">
        <x:v>50</x:v>
      </x:c>
      <x:c r="L295" s="8" t="inlineStr">
        <x:is>
          <x:t xml:space="preserve">UNTESTED</x:t>
        </x:is>
      </x:c>
      <x:c r="M295" s="9" t="inlineStr">
        <x:is>
          <x:t xml:space="preserve">UNTESTED</x:t>
        </x:is>
      </x:c>
      <x:c r="N295" s="5" t="inlineStr">
        <x:is>
          <x:t xml:space="preserve">space planning; product curation; aesthetic reasoning; phased project planning</x:t>
        </x:is>
      </x:c>
      <x:c r="O295" s="5" t="inlineStr">
        <x:is>
          <x:t xml:space="preserve">Medium</x:t>
        </x:is>
      </x:c>
      <x:c r="P295" s="5" t="inlineStr">
        <x:is>
          <x:t xml:space="preserve">High</x:t>
        </x:is>
      </x:c>
      <x:c r="Q295" s="5" t="inlineStr">
        <x:is>
          <x:t xml:space="preserve">Medium</x:t>
        </x:is>
      </x:c>
      <x:c r="R295" s="5" t="inlineStr">
        <x:is>
          <x:t xml:space="preserve">Low</x:t>
        </x:is>
      </x:c>
      <x:c r="S295" s="5" t="inlineStr">
        <x:is>
          <x:t xml:space="preserve">Low</x:t>
        </x:is>
      </x:c>
      <x:c r="T295" s="5" t="inlineStr">
        <x:is>
          <x:t xml:space="preserve">ChatGPT with web; image/design tools later</x:t>
        </x:is>
      </x:c>
      <x:c r="U295" s="5" t="inlineStr">
        <x:is>
          <x:t xml:space="preserve">Medium</x:t>
        </x:is>
      </x:c>
      <x:c r="V295" s="10" t="n">
        <x:v>2</x:v>
      </x:c>
      <x:c r="W295" s="5" t="inlineStr">
        <x:is>
          <x:t xml:space="preserve">Design brief generation + feasibility review</x:t>
        </x:is>
      </x:c>
      <x:c r="X295" s="5" t="inlineStr">
        <x:is>
          <x:t xml:space="preserve">layout / shopping plan / phased upgrade roadmap</x:t>
        </x:is>
      </x:c>
      <x:c r="Y295" s="5" t="inlineStr">
        <x:is>
          <x:t xml:space="preserve">Design plan feels cohesive, practical, and matched to lifestyle goals.</x:t>
        </x:is>
      </x:c>
      <x:c r="Z295" s="5" t="inlineStr">
        <x:is>
          <x:t xml:space="preserve">Pretty but impractical suggestions, no budget logic, or weak taste alignment.</x:t>
        </x:is>
      </x:c>
      <x:c r="AA295" s="5" t="inlineStr">
        <x:is>
          <x:t xml:space="preserve">design preference memory / shopping integration / image workflow</x:t>
        </x:is>
      </x:c>
      <x:c r="AB295" s="5" t="inlineStr">
        <x:is>
          <x:t xml:space="preserve"/>
        </x:is>
      </x:c>
      <x:c r="AC295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295" s="5" t="inlineStr">
        <x:is>
          <x:t xml:space="preserve">ThinkLab 2025 design benchmark; Houzz 2025 AI in construction &amp; design; Canadian Contractor/Mattoboard survey 2025</x:t>
        </x:is>
      </x:c>
      <x:c r="AE295" s="11">
        <x:f>IF(O295="High",20,IF(O295="Medium",10,IF(O295="Low",5,0)))+IF(P295="High",20,IF(P295="Medium",10,IF(P295="Low",5,0)))+IF(Q295="High",20,IF(Q295="Medium",10,IF(Q295="Low",5,0)))+IF(R295="High",20,IF(R295="Medium",10,IF(R295="Low",5,0)))+IF(S295="High",20,IF(S295="Medium",10,IF(S295="Low",5,0)))</x:f>
        <x:v>50</x:v>
      </x:c>
      <x:c r="AF295" s="12">
        <x:f>ROUND(H295*0.30+J295*0.25+K295*0.20+(100-AE295)*0.10+(100-(V295*20))*0.15,0)</x:f>
        <x:v>51</x:v>
      </x:c>
      <x:c r="AG295" s="13" t="str">
        <x:f>IF(AF295&gt;=80,"Batch 1",IF(AF295&gt;=70,"Batch 2",IF(AF295&gt;=60,"Batch 3","Backlog")))</x:f>
        <x:v>Backlog</x:v>
      </x:c>
      <x:c r="AH295" t="inlineStr">
        <x:is>
          <x:t xml:space="preserve"/>
        </x:is>
      </x:c>
    </x:row>
    <x:row r="296">
      <x:c r="A296" s="5" t="inlineStr">
        <x:is>
          <x:t xml:space="preserve">GPO-HEA-18</x:t>
        </x:is>
      </x:c>
      <x:c r="B296" s="5" t="n">
        <x:v>292</x:v>
      </x:c>
      <x:c r="C296" s="5" t="inlineStr">
        <x:is>
          <x:t xml:space="preserve">Health &amp; Wellness Coach</x:t>
        </x:is>
      </x:c>
      <x:c r="D296" s="5" t="inlineStr">
        <x:is>
          <x:t xml:space="preserve">Care</x:t>
        </x:is>
      </x:c>
      <x:c r="E296" s="5" t="inlineStr">
        <x:is>
          <x:t xml:space="preserve">Expansion 150</x:t>
        </x:is>
      </x:c>
      <x:c r="F296" s="5" t="n">
        <x:v>18</x:v>
      </x:c>
      <x:c r="G296" s="5" t="inlineStr">
        <x:is>
          <x:t xml:space="preserve">Review my current health stack and tell me what is signal versus noise.</x:t>
        </x:is>
      </x:c>
      <x:c r="H296" s="6" t="n">
        <x:v>49</x:v>
      </x:c>
      <x:c r="I296" s="6" t="n">
        <x:v>49</x:v>
      </x:c>
      <x:c r="J296" s="7" t="n">
        <x:v>48</x:v>
      </x:c>
      <x:c r="K296" s="7" t="n">
        <x:v>49</x:v>
      </x:c>
      <x:c r="L296" s="8" t="inlineStr">
        <x:is>
          <x:t xml:space="preserve">UNTESTED</x:t>
        </x:is>
      </x:c>
      <x:c r="M296" s="9" t="inlineStr">
        <x:is>
          <x:t xml:space="preserve">UNTESTED</x:t>
        </x:is>
      </x:c>
      <x:c r="N296" s="5" t="inlineStr">
        <x:is>
          <x:t xml:space="preserve">health explanation; risk framing; behavior coaching; careful disclaimer handling</x:t>
        </x:is>
      </x:c>
      <x:c r="O296" s="5" t="inlineStr">
        <x:is>
          <x:t xml:space="preserve">Medium</x:t>
        </x:is>
      </x:c>
      <x:c r="P296" s="5" t="inlineStr">
        <x:is>
          <x:t xml:space="preserve">High</x:t>
        </x:is>
      </x:c>
      <x:c r="Q296" s="5" t="inlineStr">
        <x:is>
          <x:t xml:space="preserve">Low</x:t>
        </x:is>
      </x:c>
      <x:c r="R296" s="5" t="inlineStr">
        <x:is>
          <x:t xml:space="preserve">Low</x:t>
        </x:is>
      </x:c>
      <x:c r="S296" s="5" t="inlineStr">
        <x:is>
          <x:t xml:space="preserve">Medium</x:t>
        </x:is>
      </x:c>
      <x:c r="T296" s="5" t="inlineStr">
        <x:is>
          <x:t xml:space="preserve">ChatGPT primary with careful guardrails</x:t>
        </x:is>
      </x:c>
      <x:c r="U296" s="5" t="inlineStr">
        <x:is>
          <x:t xml:space="preserve">Medium</x:t>
        </x:is>
      </x:c>
      <x:c r="V296" s="10" t="n">
        <x:v>2</x:v>
      </x:c>
      <x:c r="W296" s="5" t="inlineStr">
        <x:is>
          <x:t xml:space="preserve">Scenario prompts + safety review + usefulness review</x:t>
        </x:is>
      </x:c>
      <x:c r="X296" s="5" t="inlineStr">
        <x:is>
          <x:t xml:space="preserve">plan / explanation / checklist / prep brief</x:t>
        </x:is>
      </x:c>
      <x:c r="Y296" s="5" t="inlineStr">
        <x:is>
          <x:t xml:space="preserve">Useful, cautious, practical guidance that stays within safe boundaries.</x:t>
        </x:is>
      </x:c>
      <x:c r="Z296" s="5" t="inlineStr">
        <x:is>
          <x:t xml:space="preserve">Overconfident medical claims, weak escalation guidance, or unsafe advice.</x:t>
        </x:is>
      </x:c>
      <x:c r="AA296" s="5" t="inlineStr">
        <x:is>
          <x:t xml:space="preserve">safety layer / health mode / evidence grounding</x:t>
        </x:is>
      </x:c>
      <x:c r="AB296" s="5" t="inlineStr">
        <x:is>
          <x:t xml:space="preserve"/>
        </x:is>
      </x:c>
      <x:c r="AC296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296" s="5" t="inlineStr">
        <x:is>
          <x:t xml:space="preserve">OpenAI Introducing GPT-5; APPC 2025 health survey; Deloitte Connected Consumer 2025</x:t>
        </x:is>
      </x:c>
      <x:c r="AE296" s="11">
        <x:f>IF(O296="High",20,IF(O296="Medium",10,IF(O296="Low",5,0)))+IF(P296="High",20,IF(P296="Medium",10,IF(P296="Low",5,0)))+IF(Q296="High",20,IF(Q296="Medium",10,IF(Q296="Low",5,0)))+IF(R296="High",20,IF(R296="Medium",10,IF(R296="Low",5,0)))+IF(S296="High",20,IF(S296="Medium",10,IF(S296="Low",5,0)))</x:f>
        <x:v>50</x:v>
      </x:c>
      <x:c r="AF296" s="12">
        <x:f>ROUND(H296*0.30+J296*0.25+K296*0.20+(100-AE296)*0.10+(100-(V296*20))*0.15,0)</x:f>
        <x:v>51</x:v>
      </x:c>
      <x:c r="AG296" s="13" t="str">
        <x:f>IF(AF296&gt;=80,"Batch 1",IF(AF296&gt;=70,"Batch 2",IF(AF296&gt;=60,"Batch 3","Backlog")))</x:f>
        <x:v>Backlog</x:v>
      </x:c>
      <x:c r="AH296" t="inlineStr">
        <x:is>
          <x:t xml:space="preserve"/>
        </x:is>
      </x:c>
    </x:row>
    <x:row r="297">
      <x:c r="A297" s="5" t="inlineStr">
        <x:is>
          <x:t xml:space="preserve">GPO-RES-24</x:t>
        </x:is>
      </x:c>
      <x:c r="B297" s="5" t="n">
        <x:v>293</x:v>
      </x:c>
      <x:c r="C297" s="5" t="inlineStr">
        <x:is>
          <x:t xml:space="preserve">Research &amp; Analysis</x:t>
        </x:is>
      </x:c>
      <x:c r="D297" s="5" t="inlineStr">
        <x:is>
          <x:t xml:space="preserve">Think</x:t>
        </x:is>
      </x:c>
      <x:c r="E297" s="5" t="inlineStr">
        <x:is>
          <x:t xml:space="preserve">Stretch 60</x:t>
        </x:is>
      </x:c>
      <x:c r="F297" s="5" t="n">
        <x:v>24</x:v>
      </x:c>
      <x:c r="G297" s="5" t="inlineStr">
        <x:is>
          <x:t xml:space="preserve">Turn a messy multi-source debate into a single decision recommendation with confidence levels.</x:t>
        </x:is>
      </x:c>
      <x:c r="H297" s="6" t="n">
        <x:v>38</x:v>
      </x:c>
      <x:c r="I297" s="6" t="n">
        <x:v>38</x:v>
      </x:c>
      <x:c r="J297" s="7" t="n">
        <x:v>63</x:v>
      </x:c>
      <x:c r="K297" s="7" t="n">
        <x:v>49</x:v>
      </x:c>
      <x:c r="L297" s="8" t="inlineStr">
        <x:is>
          <x:t xml:space="preserve">UNTESTED</x:t>
        </x:is>
      </x:c>
      <x:c r="M297" s="9" t="inlineStr">
        <x:is>
          <x:t xml:space="preserve">UNTESTED</x:t>
        </x:is>
      </x:c>
      <x:c r="N297" s="5" t="inlineStr">
        <x:is>
          <x:t xml:space="preserve">web research; synthesis; citation discipline; decision framing</x:t>
        </x:is>
      </x:c>
      <x:c r="O297" s="5" t="inlineStr">
        <x:is>
          <x:t xml:space="preserve">High</x:t>
        </x:is>
      </x:c>
      <x:c r="P297" s="5" t="inlineStr">
        <x:is>
          <x:t xml:space="preserve">Medium</x:t>
        </x:is>
      </x:c>
      <x:c r="Q297" s="5" t="inlineStr">
        <x:is>
          <x:t xml:space="preserve">Medium</x:t>
        </x:is>
      </x:c>
      <x:c r="R297" s="5" t="inlineStr">
        <x:is>
          <x:t xml:space="preserve">Medium</x:t>
        </x:is>
      </x:c>
      <x:c r="S297" s="5" t="inlineStr">
        <x:is>
          <x:t xml:space="preserve">Low</x:t>
        </x:is>
      </x:c>
      <x:c r="T297" s="5" t="inlineStr">
        <x:is>
          <x:t xml:space="preserve">ChatGPT with web; Claude for synthesis</x:t>
        </x:is>
      </x:c>
      <x:c r="U297" s="5" t="inlineStr">
        <x:is>
          <x:t xml:space="preserve">Hard</x:t>
        </x:is>
      </x:c>
      <x:c r="V297" s="10" t="n">
        <x:v>3</x:v>
      </x:c>
      <x:c r="W297" s="5" t="inlineStr">
        <x:is>
          <x:t xml:space="preserve">Live research + source validation + recommendation review</x:t>
        </x:is>
      </x:c>
      <x:c r="X297" s="5" t="inlineStr">
        <x:is>
          <x:t xml:space="preserve">brief / comparison / decision memo / risk analysis</x:t>
        </x:is>
      </x:c>
      <x:c r="Y297" s="5" t="inlineStr">
        <x:is>
          <x:t xml:space="preserve">Accurate synthesis with evidence, tradeoffs, and a concrete recommendation.</x:t>
        </x:is>
      </x:c>
      <x:c r="Z297" s="5" t="inlineStr">
        <x:is>
          <x:t xml:space="preserve">Stale facts, no citations, weak reasoning, or surface-level synthesis.</x:t>
        </x:is>
      </x:c>
      <x:c r="AA297" s="5" t="inlineStr">
        <x:is>
          <x:t xml:space="preserve">web integration / citation enforcement / analysis rubric</x:t>
        </x:is>
      </x:c>
      <x:c r="AB297" s="5" t="inlineStr">
        <x:is>
          <x:t xml:space="preserve"/>
        </x:is>
      </x:c>
      <x:c r="AC297" s="5" t="inlineStr">
        <x:is>
          <x:t xml:space="preserve">OpenAI usage paper: Seeking Information is in top 3 categories; work/advice/search are common across Deloitte and OpenAI.</x:t>
        </x:is>
      </x:c>
      <x:c r="AD297" s="5" t="inlineStr">
        <x:is>
          <x:t xml:space="preserve">OpenAI How People Use ChatGPT paper; Deloitte Connected Consumer 2025</x:t>
        </x:is>
      </x:c>
      <x:c r="AE297" s="11">
        <x:f>IF(O297="High",20,IF(O297="Medium",10,IF(O297="Low",5,0)))+IF(P297="High",20,IF(P297="Medium",10,IF(P297="Low",5,0)))+IF(Q297="High",20,IF(Q297="Medium",10,IF(Q297="Low",5,0)))+IF(R297="High",20,IF(R297="Medium",10,IF(R297="Low",5,0)))+IF(S297="High",20,IF(S297="Medium",10,IF(S297="Low",5,0)))</x:f>
        <x:v>55</x:v>
      </x:c>
      <x:c r="AF297" s="12">
        <x:f>ROUND(H297*0.30+J297*0.25+K297*0.20+(100-AE297)*0.10+(100-(V297*20))*0.15,0)</x:f>
        <x:v>47</x:v>
      </x:c>
      <x:c r="AG297" s="13" t="str">
        <x:f>IF(AF297&gt;=80,"Batch 1",IF(AF297&gt;=70,"Batch 2",IF(AF297&gt;=60,"Batch 3","Backlog")))</x:f>
        <x:v>Backlog</x:v>
      </x:c>
      <x:c r="AH297" t="inlineStr">
        <x:is>
          <x:t xml:space="preserve"/>
        </x:is>
      </x:c>
    </x:row>
    <x:row r="298">
      <x:c r="A298" s="5" t="inlineStr">
        <x:is>
          <x:t xml:space="preserve">GPO-SCR-18</x:t>
        </x:is>
      </x:c>
      <x:c r="B298" s="5" t="n">
        <x:v>294</x:v>
      </x:c>
      <x:c r="C298" s="5" t="inlineStr">
        <x:is>
          <x:t xml:space="preserve">Screenwriting &amp; Story Development</x:t>
        </x:is>
      </x:c>
      <x:c r="D298" s="5" t="inlineStr">
        <x:is>
          <x:t xml:space="preserve">Create</x:t>
        </x:is>
      </x:c>
      <x:c r="E298" s="5" t="inlineStr">
        <x:is>
          <x:t xml:space="preserve">Expansion 150</x:t>
        </x:is>
      </x:c>
      <x:c r="F298" s="5" t="n">
        <x:v>18</x:v>
      </x:c>
      <x:c r="G298" s="5" t="inlineStr">
        <x:is>
          <x:t xml:space="preserve">Tell me whether this script is art-house, mainstream, or confused in between.</x:t>
        </x:is>
      </x:c>
      <x:c r="H298" s="6" t="n">
        <x:v>38</x:v>
      </x:c>
      <x:c r="I298" s="6" t="n">
        <x:v>38</x:v>
      </x:c>
      <x:c r="J298" s="7" t="n">
        <x:v>63</x:v>
      </x:c>
      <x:c r="K298" s="7" t="n">
        <x:v>49</x:v>
      </x:c>
      <x:c r="L298" s="8" t="inlineStr">
        <x:is>
          <x:t xml:space="preserve">UNTESTED</x:t>
        </x:is>
      </x:c>
      <x:c r="M298" s="9" t="inlineStr">
        <x:is>
          <x:t xml:space="preserve">UNTESTED</x:t>
        </x:is>
      </x:c>
      <x:c r="N298" s="5" t="inlineStr">
        <x:is>
          <x:t xml:space="preserve">creative ideation; story structure; tone control; character design</x:t>
        </x:is>
      </x:c>
      <x:c r="O298" s="5" t="inlineStr">
        <x:is>
          <x:t xml:space="preserve">Low</x:t>
        </x:is>
      </x:c>
      <x:c r="P298" s="5" t="inlineStr">
        <x:is>
          <x:t xml:space="preserve">Medium</x:t>
        </x:is>
      </x:c>
      <x:c r="Q298" s="5" t="inlineStr">
        <x:is>
          <x:t xml:space="preserve">Low</x:t>
        </x:is>
      </x:c>
      <x:c r="R298" s="5" t="inlineStr">
        <x:is>
          <x:t xml:space="preserve">Low</x:t>
        </x:is>
      </x:c>
      <x:c r="S298" s="5" t="inlineStr">
        <x:is>
          <x:t xml:space="preserve">Low</x:t>
        </x:is>
      </x:c>
      <x:c r="T298" s="5" t="inlineStr">
        <x:is>
          <x:t xml:space="preserve">ChatGPT or Claude creative mode</x:t>
        </x:is>
      </x:c>
      <x:c r="U298" s="5" t="inlineStr">
        <x:is>
          <x:t xml:space="preserve">Medium</x:t>
        </x:is>
      </x:c>
      <x:c r="V298" s="10" t="n">
        <x:v>2</x:v>
      </x:c>
      <x:c r="W298" s="5" t="inlineStr">
        <x:is>
          <x:t xml:space="preserve">Creative prompt run + human taste review</x:t>
        </x:is>
      </x:c>
      <x:c r="X298" s="5" t="inlineStr">
        <x:is>
          <x:t xml:space="preserve">logline / outline / scene rewrite / treatment</x:t>
        </x:is>
      </x:c>
      <x:c r="Y298" s="5" t="inlineStr">
        <x:is>
          <x:t xml:space="preserve">Story work feels coherent, original, and emotionally alive.</x:t>
        </x:is>
      </x:c>
      <x:c r="Z298" s="5" t="inlineStr">
        <x:is>
          <x:t xml:space="preserve">Cliche ideas, flat dialogue, weak stakes, or no tonal discipline.</x:t>
        </x:is>
      </x:c>
      <x:c r="AA298" s="5" t="inlineStr">
        <x:is>
          <x:t xml:space="preserve">creative mode / style packs / development workflow</x:t>
        </x:is>
      </x:c>
      <x:c r="AB298" s="5" t="inlineStr">
        <x:is>
          <x:t xml:space="preserve"/>
        </x:is>
      </x:c>
      <x:c r="AC298" s="5" t="inlineStr">
        <x:is>
          <x:t xml:space="preserve">OpenAI practical guidance includes creative ideation; creator surveys show broad use of generative AI in creative workflows.</x:t>
        </x:is>
      </x:c>
      <x:c r="AD298" s="5" t="inlineStr">
        <x:is>
          <x:t xml:space="preserve">OpenAI How People Use ChatGPT paper; Adobe creators survey 2025; Wondercraft/Digiday creator workflow survey 2025</x:t>
        </x:is>
      </x:c>
      <x:c r="AE298" s="11">
        <x:f>IF(O298="High",20,IF(O298="Medium",10,IF(O298="Low",5,0)))+IF(P298="High",20,IF(P298="Medium",10,IF(P298="Low",5,0)))+IF(Q298="High",20,IF(Q298="Medium",10,IF(Q298="Low",5,0)))+IF(R298="High",20,IF(R298="Medium",10,IF(R298="Low",5,0)))+IF(S298="High",20,IF(S298="Medium",10,IF(S298="Low",5,0)))</x:f>
        <x:v>30</x:v>
      </x:c>
      <x:c r="AF298" s="12">
        <x:f>ROUND(H298*0.30+J298*0.25+K298*0.20+(100-AE298)*0.10+(100-(V298*20))*0.15,0)</x:f>
        <x:v>53</x:v>
      </x:c>
      <x:c r="AG298" s="13" t="str">
        <x:f>IF(AF298&gt;=80,"Batch 1",IF(AF298&gt;=70,"Batch 2",IF(AF298&gt;=60,"Batch 3","Backlog")))</x:f>
        <x:v>Backlog</x:v>
      </x:c>
      <x:c r="AH298" t="inlineStr">
        <x:is>
          <x:t xml:space="preserve"/>
        </x:is>
      </x:c>
    </x:row>
    <x:row r="299">
      <x:c r="A299" s="5" t="inlineStr">
        <x:is>
          <x:t xml:space="preserve">GPO-SHO-23</x:t>
        </x:is>
      </x:c>
      <x:c r="B299" s="5" t="n">
        <x:v>295</x:v>
      </x:c>
      <x:c r="C299" s="5" t="inlineStr">
        <x:is>
          <x:t xml:space="preserve">Shopping &amp; Buying Advisor</x:t>
        </x:is>
      </x:c>
      <x:c r="D299" s="5" t="inlineStr">
        <x:is>
          <x:t xml:space="preserve">Buy</x:t>
        </x:is>
      </x:c>
      <x:c r="E299" s="5" t="inlineStr">
        <x:is>
          <x:t xml:space="preserve">Stretch 60</x:t>
        </x:is>
      </x:c>
      <x:c r="F299" s="5" t="n">
        <x:v>23</x:v>
      </x:c>
      <x:c r="G299" s="5" t="inlineStr">
        <x:is>
          <x:t xml:space="preserve">Recommend a complete premium setup across multiple devices that work together coherently.</x:t>
        </x:is>
      </x:c>
      <x:c r="H299" s="6" t="n">
        <x:v>38</x:v>
      </x:c>
      <x:c r="I299" s="6" t="n">
        <x:v>38</x:v>
      </x:c>
      <x:c r="J299" s="7" t="n">
        <x:v>63</x:v>
      </x:c>
      <x:c r="K299" s="7" t="n">
        <x:v>49</x:v>
      </x:c>
      <x:c r="L299" s="8" t="inlineStr">
        <x:is>
          <x:t xml:space="preserve">UNTESTED</x:t>
        </x:is>
      </x:c>
      <x:c r="M299" s="9" t="inlineStr">
        <x:is>
          <x:t xml:space="preserve">UNTESTED</x:t>
        </x:is>
      </x:c>
      <x:c r="N299" s="5" t="inlineStr">
        <x:is>
          <x:t xml:space="preserve">web/product research; comparison; price-value reasoning; shortlist generation</x:t>
        </x:is>
      </x:c>
      <x:c r="O299" s="5" t="inlineStr">
        <x:is>
          <x:t xml:space="preserve">High</x:t>
        </x:is>
      </x:c>
      <x:c r="P299" s="5" t="inlineStr">
        <x:is>
          <x:t xml:space="preserve">Medium</x:t>
        </x:is>
      </x:c>
      <x:c r="Q299" s="5" t="inlineStr">
        <x:is>
          <x:t xml:space="preserve">Medium</x:t>
        </x:is>
      </x:c>
      <x:c r="R299" s="5" t="inlineStr">
        <x:is>
          <x:t xml:space="preserve">Low</x:t>
        </x:is>
      </x:c>
      <x:c r="S299" s="5" t="inlineStr">
        <x:is>
          <x:t xml:space="preserve">Low</x:t>
        </x:is>
      </x:c>
      <x:c r="T299" s="5" t="inlineStr">
        <x:is>
          <x:t xml:space="preserve">ChatGPT with web</x:t>
        </x:is>
      </x:c>
      <x:c r="U299" s="5" t="inlineStr">
        <x:is>
          <x:t xml:space="preserve">Hard</x:t>
        </x:is>
      </x:c>
      <x:c r="V299" s="10" t="n">
        <x:v>3</x:v>
      </x:c>
      <x:c r="W299" s="5" t="inlineStr">
        <x:is>
          <x:t xml:space="preserve">Live shopping query + recommendation validation</x:t>
        </x:is>
      </x:c>
      <x:c r="X299" s="5" t="inlineStr">
        <x:is>
          <x:t xml:space="preserve">shortlist / recommendation / comparison / cart plan</x:t>
        </x:is>
      </x:c>
      <x:c r="Y299" s="5" t="inlineStr">
        <x:is>
          <x:t xml:space="preserve">Recommendation fits constraints and explains tradeoffs clearly.</x:t>
        </x:is>
      </x:c>
      <x:c r="Z299" s="5" t="inlineStr">
        <x:is>
          <x:t xml:space="preserve">Outdated products, poor fit, missed constraints, or shallow comparison.</x:t>
        </x:is>
      </x:c>
      <x:c r="AA299" s="5" t="inlineStr">
        <x:is>
          <x:t xml:space="preserve">web/product retrieval / comparison template / user preference memory</x:t>
        </x:is>
      </x:c>
      <x:c r="AB299" s="5" t="inlineStr">
        <x:is>
          <x:t xml:space="preserve"/>
        </x:is>
      </x:c>
      <x:c r="AC299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299" s="5" t="inlineStr">
        <x:is>
          <x:t xml:space="preserve">Deloitte Connected Consumer 2025; Salesforce Connected Shopper 2025; IAB 2025 shopping study</x:t>
        </x:is>
      </x:c>
      <x:c r="AE299" s="11">
        <x:f>IF(O299="High",20,IF(O299="Medium",10,IF(O299="Low",5,0)))+IF(P299="High",20,IF(P299="Medium",10,IF(P299="Low",5,0)))+IF(Q299="High",20,IF(Q299="Medium",10,IF(Q299="Low",5,0)))+IF(R299="High",20,IF(R299="Medium",10,IF(R299="Low",5,0)))+IF(S299="High",20,IF(S299="Medium",10,IF(S299="Low",5,0)))</x:f>
        <x:v>50</x:v>
      </x:c>
      <x:c r="AF299" s="12">
        <x:f>ROUND(H299*0.30+J299*0.25+K299*0.20+(100-AE299)*0.10+(100-(V299*20))*0.15,0)</x:f>
        <x:v>48</x:v>
      </x:c>
      <x:c r="AG299" s="13" t="str">
        <x:f>IF(AF299&gt;=80,"Batch 1",IF(AF299&gt;=70,"Batch 2",IF(AF299&gt;=60,"Batch 3","Backlog")))</x:f>
        <x:v>Backlog</x:v>
      </x:c>
      <x:c r="AH299" t="inlineStr">
        <x:is>
          <x:t xml:space="preserve"/>
        </x:is>
      </x:c>
    </x:row>
    <x:row r="300">
      <x:c r="A300" s="5" t="inlineStr">
        <x:is>
          <x:t xml:space="preserve">GPO-MUS-11</x:t>
        </x:is>
      </x:c>
      <x:c r="B300" s="5" t="n">
        <x:v>296</x:v>
      </x:c>
      <x:c r="C300" s="5" t="inlineStr">
        <x:is>
          <x:t xml:space="preserve">Music &amp; Audio Creation</x:t>
        </x:is>
      </x:c>
      <x:c r="D300" s="5" t="inlineStr">
        <x:is>
          <x:t xml:space="preserve">Create</x:t>
        </x:is>
      </x:c>
      <x:c r="E300" s="5" t="inlineStr">
        <x:is>
          <x:t xml:space="preserve">Expansion 150</x:t>
        </x:is>
      </x:c>
      <x:c r="F300" s="5" t="n">
        <x:v>11</x:v>
      </x:c>
      <x:c r="G300" s="5" t="inlineStr">
        <x:is>
          <x:t xml:space="preserve">Recommend the best tools/plugins/apps for {music_goal} without overcomplicating it.</x:t>
        </x:is>
      </x:c>
      <x:c r="H300" s="6" t="n">
        <x:v>42</x:v>
      </x:c>
      <x:c r="I300" s="6" t="n">
        <x:v>42</x:v>
      </x:c>
      <x:c r="J300" s="7" t="n">
        <x:v>57</x:v>
      </x:c>
      <x:c r="K300" s="7" t="n">
        <x:v>49</x:v>
      </x:c>
      <x:c r="L300" s="8" t="inlineStr">
        <x:is>
          <x:t xml:space="preserve">UNTESTED</x:t>
        </x:is>
      </x:c>
      <x:c r="M300" s="9" t="inlineStr">
        <x:is>
          <x:t xml:space="preserve">UNTESTED</x:t>
        </x:is>
      </x:c>
      <x:c r="N300" s="5" t="inlineStr">
        <x:is>
          <x:t xml:space="preserve">theory help; composition support; practice coaching; audio workflow planning</x:t>
        </x:is>
      </x:c>
      <x:c r="O300" s="5" t="inlineStr">
        <x:is>
          <x:t xml:space="preserve">Low</x:t>
        </x:is>
      </x:c>
      <x:c r="P300" s="5" t="inlineStr">
        <x:is>
          <x:t xml:space="preserve">Medium</x:t>
        </x:is>
      </x:c>
      <x:c r="Q300" s="5" t="inlineStr">
        <x:is>
          <x:t xml:space="preserve">Medium</x:t>
        </x:is>
      </x:c>
      <x:c r="R300" s="5" t="inlineStr">
        <x:is>
          <x:t xml:space="preserve">Low</x:t>
        </x:is>
      </x:c>
      <x:c r="S300" s="5" t="inlineStr">
        <x:is>
          <x:t xml:space="preserve">Medium</x:t>
        </x:is>
      </x:c>
      <x:c r="T300" s="5" t="inlineStr">
        <x:is>
          <x:t xml:space="preserve">ChatGPT/Claude planning + external music tools</x:t>
        </x:is>
      </x:c>
      <x:c r="U300" s="5" t="inlineStr">
        <x:is>
          <x:t xml:space="preserve">Medium</x:t>
        </x:is>
      </x:c>
      <x:c r="V300" s="10" t="n">
        <x:v>2</x:v>
      </x:c>
      <x:c r="W300" s="5" t="inlineStr">
        <x:is>
          <x:t xml:space="preserve">Creative coaching + workflow review</x:t>
        </x:is>
      </x:c>
      <x:c r="X300" s="5" t="inlineStr">
        <x:is>
          <x:t xml:space="preserve">practice plan / composition guide / arrangement brief</x:t>
        </x:is>
      </x:c>
      <x:c r="Y300" s="5" t="inlineStr">
        <x:is>
          <x:t xml:space="preserve">Output helps create or learn music in a concrete, musically coherent way.</x:t>
        </x:is>
      </x:c>
      <x:c r="Z300" s="5" t="inlineStr">
        <x:is>
          <x:t xml:space="preserve">Musically weak suggestions, generic advice, or no usable next step.</x:t>
        </x:is>
      </x:c>
      <x:c r="AA300" s="5" t="inlineStr">
        <x:is>
          <x:t xml:space="preserve">music mode / external tool routing / structured lesson outputs</x:t>
        </x:is>
      </x:c>
      <x:c r="AB300" s="5" t="inlineStr">
        <x:is>
          <x:t xml:space="preserve"/>
        </x:is>
      </x:c>
      <x:c r="AC300" s="5" t="inlineStr">
        <x:is>
          <x:t xml:space="preserve">Music-maker surveys show strong AI usage in parts of workflow, but full-song generation is less appealing; consumer trust remains mixed.</x:t>
        </x:is>
      </x:c>
      <x:c r="AD300" s="5" t="inlineStr">
        <x:is>
          <x:t xml:space="preserve">LANDR study 2025; PRS for Music 2026; Bain media survey 2025</x:t>
        </x:is>
      </x:c>
      <x:c r="AE300" s="11">
        <x:f>IF(O300="High",20,IF(O300="Medium",10,IF(O300="Low",5,0)))+IF(P300="High",20,IF(P300="Medium",10,IF(P300="Low",5,0)))+IF(Q300="High",20,IF(Q300="Medium",10,IF(Q300="Low",5,0)))+IF(R300="High",20,IF(R300="Medium",10,IF(R300="Low",5,0)))+IF(S300="High",20,IF(S300="Medium",10,IF(S300="Low",5,0)))</x:f>
        <x:v>40</x:v>
      </x:c>
      <x:c r="AF300" s="12">
        <x:f>ROUND(H300*0.30+J300*0.25+K300*0.20+(100-AE300)*0.10+(100-(V300*20))*0.15,0)</x:f>
        <x:v>52</x:v>
      </x:c>
      <x:c r="AG300" s="13" t="str">
        <x:f>IF(AF300&gt;=80,"Batch 1",IF(AF300&gt;=70,"Batch 2",IF(AF300&gt;=60,"Batch 3","Backlog")))</x:f>
        <x:v>Backlog</x:v>
      </x:c>
      <x:c r="AH300" t="inlineStr">
        <x:is>
          <x:t xml:space="preserve"/>
        </x:is>
      </x:c>
    </x:row>
    <x:row r="301">
      <x:c r="A301" s="5" t="inlineStr">
        <x:is>
          <x:t xml:space="preserve">GPO-CAR-23</x:t>
        </x:is>
      </x:c>
      <x:c r="B301" s="5" t="n">
        <x:v>297</x:v>
      </x:c>
      <x:c r="C301" s="5" t="inlineStr">
        <x:is>
          <x:t xml:space="preserve">Career &amp; Job Search</x:t>
        </x:is>
      </x:c>
      <x:c r="D301" s="5" t="inlineStr">
        <x:is>
          <x:t xml:space="preserve">Advance</x:t>
        </x:is>
      </x:c>
      <x:c r="E301" s="5" t="inlineStr">
        <x:is>
          <x:t xml:space="preserve">Stretch 60</x:t>
        </x:is>
      </x:c>
      <x:c r="F301" s="5" t="n">
        <x:v>23</x:v>
      </x:c>
      <x:c r="G301" s="5" t="inlineStr">
        <x:is>
          <x:t xml:space="preserve">Create a no-BS career strategy memo telling me what to stop doing immediately.</x:t>
        </x:is>
      </x:c>
      <x:c r="H301" s="6" t="n">
        <x:v>38</x:v>
      </x:c>
      <x:c r="I301" s="6" t="n">
        <x:v>38</x:v>
      </x:c>
      <x:c r="J301" s="7" t="n">
        <x:v>62</x:v>
      </x:c>
      <x:c r="K301" s="7" t="n">
        <x:v>49</x:v>
      </x:c>
      <x:c r="L301" s="8" t="inlineStr">
        <x:is>
          <x:t xml:space="preserve">UNTESTED</x:t>
        </x:is>
      </x:c>
      <x:c r="M301" s="9" t="inlineStr">
        <x:is>
          <x:t xml:space="preserve">UNTESTED</x:t>
        </x:is>
      </x:c>
      <x:c r="N301" s="5" t="inlineStr">
        <x:is>
          <x:t xml:space="preserve">resume tailoring; interview prep; role mapping; narrative building</x:t>
        </x:is>
      </x:c>
      <x:c r="O301" s="5" t="inlineStr">
        <x:is>
          <x:t xml:space="preserve">Medium</x:t>
        </x:is>
      </x:c>
      <x:c r="P301" s="5" t="inlineStr">
        <x:is>
          <x:t xml:space="preserve">High</x:t>
        </x:is>
      </x:c>
      <x:c r="Q301" s="5" t="inlineStr">
        <x:is>
          <x:t xml:space="preserve">Low</x:t>
        </x:is>
      </x:c>
      <x:c r="R301" s="5" t="inlineStr">
        <x:is>
          <x:t xml:space="preserve">Low</x:t>
        </x:is>
      </x:c>
      <x:c r="S301" s="5" t="inlineStr">
        <x:is>
          <x:t xml:space="preserve">Low</x:t>
        </x:is>
      </x:c>
      <x:c r="T301" s="5" t="inlineStr">
        <x:is>
          <x:t xml:space="preserve">ChatGPT primary</x:t>
        </x:is>
      </x:c>
      <x:c r="U301" s="5" t="inlineStr">
        <x:is>
          <x:t xml:space="preserve">Hard</x:t>
        </x:is>
      </x:c>
      <x:c r="V301" s="10" t="n">
        <x:v>3</x:v>
      </x:c>
      <x:c r="W301" s="5" t="inlineStr">
        <x:is>
          <x:t xml:space="preserve">Artifact review + mock interview + targeting review</x:t>
        </x:is>
      </x:c>
      <x:c r="X301" s="5" t="inlineStr">
        <x:is>
          <x:t xml:space="preserve">resume / prep plan / outreach / strategy memo</x:t>
        </x:is>
      </x:c>
      <x:c r="Y301" s="5" t="inlineStr">
        <x:is>
          <x:t xml:space="preserve">Career outputs are specific, credible, and materially improve positioning.</x:t>
        </x:is>
      </x:c>
      <x:c r="Z301" s="5" t="inlineStr">
        <x:is>
          <x:t xml:space="preserve">Generic resume language, fake-sounding stories, or weak role fit.</x:t>
        </x:is>
      </x:c>
      <x:c r="AA301" s="5" t="inlineStr">
        <x:is>
          <x:t xml:space="preserve">career templates / memory / ATS-aware output logic</x:t>
        </x:is>
      </x:c>
      <x:c r="AB301" s="5" t="inlineStr">
        <x:is>
          <x:t xml:space="preserve"/>
        </x:is>
      </x:c>
      <x:c r="AC301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301" s="5" t="inlineStr">
        <x:is>
          <x:t xml:space="preserve">Insight Global AI in Hiring Report 2025; NACE student survey 2025/2026</x:t>
        </x:is>
      </x:c>
      <x:c r="AE301" s="11">
        <x:f>IF(O301="High",20,IF(O301="Medium",10,IF(O301="Low",5,0)))+IF(P301="High",20,IF(P301="Medium",10,IF(P301="Low",5,0)))+IF(Q301="High",20,IF(Q301="Medium",10,IF(Q301="Low",5,0)))+IF(R301="High",20,IF(R301="Medium",10,IF(R301="Low",5,0)))+IF(S301="High",20,IF(S301="Medium",10,IF(S301="Low",5,0)))</x:f>
        <x:v>45</x:v>
      </x:c>
      <x:c r="AF301" s="12">
        <x:f>ROUND(H301*0.30+J301*0.25+K301*0.20+(100-AE301)*0.10+(100-(V301*20))*0.15,0)</x:f>
        <x:v>48</x:v>
      </x:c>
      <x:c r="AG301" s="13" t="str">
        <x:f>IF(AF301&gt;=80,"Batch 1",IF(AF301&gt;=70,"Batch 2",IF(AF301&gt;=60,"Batch 3","Backlog")))</x:f>
        <x:v>Backlog</x:v>
      </x:c>
      <x:c r="AH301" t="inlineStr">
        <x:is>
          <x:t xml:space="preserve"/>
        </x:is>
      </x:c>
    </x:row>
    <x:row r="302">
      <x:c r="A302" s="5" t="inlineStr">
        <x:is>
          <x:t xml:space="preserve">GPO-FIL-10</x:t>
        </x:is>
      </x:c>
      <x:c r="B302" s="5" t="n">
        <x:v>298</x:v>
      </x:c>
      <x:c r="C302" s="5" t="inlineStr">
        <x:is>
          <x:t xml:space="preserve">Filmmaking &amp; Video Production</x:t>
        </x:is>
      </x:c>
      <x:c r="D302" s="5" t="inlineStr">
        <x:is>
          <x:t xml:space="preserve">Create</x:t>
        </x:is>
      </x:c>
      <x:c r="E302" s="5" t="inlineStr">
        <x:is>
          <x:t xml:space="preserve">Core 150</x:t>
        </x:is>
      </x:c>
      <x:c r="F302" s="5" t="n">
        <x:v>10</x:v>
      </x:c>
      <x:c r="G302" s="5" t="inlineStr">
        <x:is>
          <x:t xml:space="preserve">Build a post-production workflow for editing, color, sound, and delivery.</x:t>
        </x:is>
      </x:c>
      <x:c r="H302" s="6" t="n">
        <x:v>46</x:v>
      </x:c>
      <x:c r="I302" s="6" t="n">
        <x:v>46</x:v>
      </x:c>
      <x:c r="J302" s="7" t="n">
        <x:v>51</x:v>
      </x:c>
      <x:c r="K302" s="7" t="n">
        <x:v>48</x:v>
      </x:c>
      <x:c r="L302" s="8" t="inlineStr">
        <x:is>
          <x:t xml:space="preserve">UNTESTED</x:t>
        </x:is>
      </x:c>
      <x:c r="M302" s="9" t="inlineStr">
        <x:is>
          <x:t xml:space="preserve">UNTESTED</x:t>
        </x:is>
      </x:c>
      <x:c r="N302" s="5" t="inlineStr">
        <x:is>
          <x:t xml:space="preserve">shot planning; multimodal coordination; tool routing; production workflow</x:t>
        </x:is>
      </x:c>
      <x:c r="O302" s="5" t="inlineStr">
        <x:is>
          <x:t xml:space="preserve">Low</x:t>
        </x:is>
      </x:c>
      <x:c r="P302" s="5" t="inlineStr">
        <x:is>
          <x:t xml:space="preserve">Medium</x:t>
        </x:is>
      </x:c>
      <x:c r="Q302" s="5" t="inlineStr">
        <x:is>
          <x:t xml:space="preserve">High</x:t>
        </x:is>
      </x:c>
      <x:c r="R302" s="5" t="inlineStr">
        <x:is>
          <x:t xml:space="preserve">High</x:t>
        </x:is>
      </x:c>
      <x:c r="S302" s="5" t="inlineStr">
        <x:is>
          <x:t xml:space="preserve">Medium</x:t>
        </x:is>
      </x:c>
      <x:c r="T302" s="5" t="inlineStr">
        <x:is>
          <x:t xml:space="preserve">Claude planning + external video/image tools</x:t>
        </x:is>
      </x:c>
      <x:c r="U302" s="5" t="inlineStr">
        <x:is>
          <x:t xml:space="preserve">Hard</x:t>
        </x:is>
      </x:c>
      <x:c r="V302" s="10" t="n">
        <x:v>3</x:v>
      </x:c>
      <x:c r="W302" s="5" t="inlineStr">
        <x:is>
          <x:t xml:space="preserve">Workflow plan + asset chain review</x:t>
        </x:is>
      </x:c>
      <x:c r="X302" s="5" t="inlineStr">
        <x:is>
          <x:t xml:space="preserve">shot list / storyboard / production workflow / tool stack recommendation</x:t>
        </x:is>
      </x:c>
      <x:c r="Y302" s="5" t="inlineStr">
        <x:is>
          <x:t xml:space="preserve">Workflow is executable with current tools and preserves consistency across assets.</x:t>
        </x:is>
      </x:c>
      <x:c r="Z302" s="5" t="inlineStr">
        <x:is>
          <x:t xml:space="preserve">Ignores tool limits, no consistency strategy, or vague production logic.</x:t>
        </x:is>
      </x:c>
      <x:c r="AA302" s="5" t="inlineStr">
        <x:is>
          <x:t xml:space="preserve">multimodal orchestration / provider routing / asset schema</x:t>
        </x:is>
      </x:c>
      <x:c r="AB302" s="5" t="inlineStr">
        <x:is>
          <x:t xml:space="preserve"/>
        </x:is>
      </x:c>
      <x:c r="AC302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02" s="5" t="inlineStr">
        <x:is>
          <x:t xml:space="preserve">Wondercraft/Digiday creator workflow survey 2025; Artificial Analysis generative media survey 2025; Reuters/Canal+ 2026</x:t>
        </x:is>
      </x:c>
      <x:c r="AE302" s="11">
        <x:f>IF(O302="High",20,IF(O302="Medium",10,IF(O302="Low",5,0)))+IF(P302="High",20,IF(P302="Medium",10,IF(P302="Low",5,0)))+IF(Q302="High",20,IF(Q302="Medium",10,IF(Q302="Low",5,0)))+IF(R302="High",20,IF(R302="Medium",10,IF(R302="Low",5,0)))+IF(S302="High",20,IF(S302="Medium",10,IF(S302="Low",5,0)))</x:f>
        <x:v>65</x:v>
      </x:c>
      <x:c r="AF302" s="12">
        <x:f>ROUND(H302*0.30+J302*0.25+K302*0.20+(100-AE302)*0.10+(100-(V302*20))*0.15,0)</x:f>
        <x:v>46</x:v>
      </x:c>
      <x:c r="AG302" s="13" t="str">
        <x:f>IF(AF302&gt;=80,"Batch 1",IF(AF302&gt;=70,"Batch 2",IF(AF302&gt;=60,"Batch 3","Backlog")))</x:f>
        <x:v>Backlog</x:v>
      </x:c>
      <x:c r="AH302" t="inlineStr">
        <x:is>
          <x:t xml:space="preserve"/>
        </x:is>
      </x:c>
    </x:row>
    <x:row r="303">
      <x:c r="A303" s="5" t="inlineStr">
        <x:is>
          <x:t xml:space="preserve">GPO-SCR-19</x:t>
        </x:is>
      </x:c>
      <x:c r="B303" s="5" t="n">
        <x:v>299</x:v>
      </x:c>
      <x:c r="C303" s="5" t="inlineStr">
        <x:is>
          <x:t xml:space="preserve">Screenwriting &amp; Story Development</x:t>
        </x:is>
      </x:c>
      <x:c r="D303" s="5" t="inlineStr">
        <x:is>
          <x:t xml:space="preserve">Create</x:t>
        </x:is>
      </x:c>
      <x:c r="E303" s="5" t="inlineStr">
        <x:is>
          <x:t xml:space="preserve">Expansion 150</x:t>
        </x:is>
      </x:c>
      <x:c r="F303" s="5" t="n">
        <x:v>19</x:v>
      </x:c>
      <x:c r="G303" s="5" t="inlineStr">
        <x:is>
          <x:t xml:space="preserve">Break down this favorite film and show me how to learn from its structure.</x:t>
        </x:is>
      </x:c>
      <x:c r="H303" s="6" t="n">
        <x:v>37</x:v>
      </x:c>
      <x:c r="I303" s="6" t="n">
        <x:v>37</x:v>
      </x:c>
      <x:c r="J303" s="7" t="n">
        <x:v>63</x:v>
      </x:c>
      <x:c r="K303" s="7" t="n">
        <x:v>49</x:v>
      </x:c>
      <x:c r="L303" s="8" t="inlineStr">
        <x:is>
          <x:t xml:space="preserve">UNTESTED</x:t>
        </x:is>
      </x:c>
      <x:c r="M303" s="9" t="inlineStr">
        <x:is>
          <x:t xml:space="preserve">UNTESTED</x:t>
        </x:is>
      </x:c>
      <x:c r="N303" s="5" t="inlineStr">
        <x:is>
          <x:t xml:space="preserve">creative ideation; story structure; tone control; character design</x:t>
        </x:is>
      </x:c>
      <x:c r="O303" s="5" t="inlineStr">
        <x:is>
          <x:t xml:space="preserve">Low</x:t>
        </x:is>
      </x:c>
      <x:c r="P303" s="5" t="inlineStr">
        <x:is>
          <x:t xml:space="preserve">Medium</x:t>
        </x:is>
      </x:c>
      <x:c r="Q303" s="5" t="inlineStr">
        <x:is>
          <x:t xml:space="preserve">Low</x:t>
        </x:is>
      </x:c>
      <x:c r="R303" s="5" t="inlineStr">
        <x:is>
          <x:t xml:space="preserve">Low</x:t>
        </x:is>
      </x:c>
      <x:c r="S303" s="5" t="inlineStr">
        <x:is>
          <x:t xml:space="preserve">Low</x:t>
        </x:is>
      </x:c>
      <x:c r="T303" s="5" t="inlineStr">
        <x:is>
          <x:t xml:space="preserve">ChatGPT or Claude creative mode</x:t>
        </x:is>
      </x:c>
      <x:c r="U303" s="5" t="inlineStr">
        <x:is>
          <x:t xml:space="preserve">Medium</x:t>
        </x:is>
      </x:c>
      <x:c r="V303" s="10" t="n">
        <x:v>2</x:v>
      </x:c>
      <x:c r="W303" s="5" t="inlineStr">
        <x:is>
          <x:t xml:space="preserve">Creative prompt run + human taste review</x:t>
        </x:is>
      </x:c>
      <x:c r="X303" s="5" t="inlineStr">
        <x:is>
          <x:t xml:space="preserve">logline / outline / scene rewrite / treatment</x:t>
        </x:is>
      </x:c>
      <x:c r="Y303" s="5" t="inlineStr">
        <x:is>
          <x:t xml:space="preserve">Story work feels coherent, original, and emotionally alive.</x:t>
        </x:is>
      </x:c>
      <x:c r="Z303" s="5" t="inlineStr">
        <x:is>
          <x:t xml:space="preserve">Cliche ideas, flat dialogue, weak stakes, or no tonal discipline.</x:t>
        </x:is>
      </x:c>
      <x:c r="AA303" s="5" t="inlineStr">
        <x:is>
          <x:t xml:space="preserve">creative mode / style packs / development workflow</x:t>
        </x:is>
      </x:c>
      <x:c r="AB303" s="5" t="inlineStr">
        <x:is>
          <x:t xml:space="preserve"/>
        </x:is>
      </x:c>
      <x:c r="AC303" s="5" t="inlineStr">
        <x:is>
          <x:t xml:space="preserve">OpenAI practical guidance includes creative ideation; creator surveys show broad use of generative AI in creative workflows.</x:t>
        </x:is>
      </x:c>
      <x:c r="AD303" s="5" t="inlineStr">
        <x:is>
          <x:t xml:space="preserve">OpenAI How People Use ChatGPT paper; Adobe creators survey 2025; Wondercraft/Digiday creator workflow survey 2025</x:t>
        </x:is>
      </x:c>
      <x:c r="AE303" s="11">
        <x:f>IF(O303="High",20,IF(O303="Medium",10,IF(O303="Low",5,0)))+IF(P303="High",20,IF(P303="Medium",10,IF(P303="Low",5,0)))+IF(Q303="High",20,IF(Q303="Medium",10,IF(Q303="Low",5,0)))+IF(R303="High",20,IF(R303="Medium",10,IF(R303="Low",5,0)))+IF(S303="High",20,IF(S303="Medium",10,IF(S303="Low",5,0)))</x:f>
        <x:v>30</x:v>
      </x:c>
      <x:c r="AF303" s="12">
        <x:f>ROUND(H303*0.30+J303*0.25+K303*0.20+(100-AE303)*0.10+(100-(V303*20))*0.15,0)</x:f>
        <x:v>53</x:v>
      </x:c>
      <x:c r="AG303" s="13" t="str">
        <x:f>IF(AF303&gt;=80,"Batch 1",IF(AF303&gt;=70,"Batch 2",IF(AF303&gt;=60,"Batch 3","Backlog")))</x:f>
        <x:v>Backlog</x:v>
      </x:c>
      <x:c r="AH303" t="inlineStr">
        <x:is>
          <x:t xml:space="preserve"/>
        </x:is>
      </x:c>
    </x:row>
    <x:row r="304">
      <x:c r="A304" s="5" t="inlineStr">
        <x:is>
          <x:t xml:space="preserve">GPO-HOM-13</x:t>
        </x:is>
      </x:c>
      <x:c r="B304" s="5" t="n">
        <x:v>300</x:v>
      </x:c>
      <x:c r="C304" s="5" t="inlineStr">
        <x:is>
          <x:t xml:space="preserve">Home &amp; Lifestyle Design</x:t>
        </x:is>
      </x:c>
      <x:c r="D304" s="5" t="inlineStr">
        <x:is>
          <x:t xml:space="preserve">Design</x:t>
        </x:is>
      </x:c>
      <x:c r="E304" s="5" t="inlineStr">
        <x:is>
          <x:t xml:space="preserve">Expansion 150</x:t>
        </x:is>
      </x:c>
      <x:c r="F304" s="5" t="n">
        <x:v>13</x:v>
      </x:c>
      <x:c r="G304" s="5" t="inlineStr">
        <x:is>
          <x:t xml:space="preserve">Build a storage/organization strategy so the home stays clean and efficient.</x:t>
        </x:is>
      </x:c>
      <x:c r="H304" s="6" t="n">
        <x:v>36</x:v>
      </x:c>
      <x:c r="I304" s="6" t="n">
        <x:v>36</x:v>
      </x:c>
      <x:c r="J304" s="7" t="n">
        <x:v>64</x:v>
      </x:c>
      <x:c r="K304" s="7" t="n">
        <x:v>49</x:v>
      </x:c>
      <x:c r="L304" s="8" t="inlineStr">
        <x:is>
          <x:t xml:space="preserve">UNTESTED</x:t>
        </x:is>
      </x:c>
      <x:c r="M304" s="9" t="inlineStr">
        <x:is>
          <x:t xml:space="preserve">UNTESTED</x:t>
        </x:is>
      </x:c>
      <x:c r="N304" s="5" t="inlineStr">
        <x:is>
          <x:t xml:space="preserve">space planning; product curation; aesthetic reasoning; phased project planning</x:t>
        </x:is>
      </x:c>
      <x:c r="O304" s="5" t="inlineStr">
        <x:is>
          <x:t xml:space="preserve">Medium</x:t>
        </x:is>
      </x:c>
      <x:c r="P304" s="5" t="inlineStr">
        <x:is>
          <x:t xml:space="preserve">High</x:t>
        </x:is>
      </x:c>
      <x:c r="Q304" s="5" t="inlineStr">
        <x:is>
          <x:t xml:space="preserve">Medium</x:t>
        </x:is>
      </x:c>
      <x:c r="R304" s="5" t="inlineStr">
        <x:is>
          <x:t xml:space="preserve">Low</x:t>
        </x:is>
      </x:c>
      <x:c r="S304" s="5" t="inlineStr">
        <x:is>
          <x:t xml:space="preserve">Low</x:t>
        </x:is>
      </x:c>
      <x:c r="T304" s="5" t="inlineStr">
        <x:is>
          <x:t xml:space="preserve">ChatGPT with web; image/design tools later</x:t>
        </x:is>
      </x:c>
      <x:c r="U304" s="5" t="inlineStr">
        <x:is>
          <x:t xml:space="preserve">Medium</x:t>
        </x:is>
      </x:c>
      <x:c r="V304" s="10" t="n">
        <x:v>2</x:v>
      </x:c>
      <x:c r="W304" s="5" t="inlineStr">
        <x:is>
          <x:t xml:space="preserve">Design brief generation + feasibility review</x:t>
        </x:is>
      </x:c>
      <x:c r="X304" s="5" t="inlineStr">
        <x:is>
          <x:t xml:space="preserve">layout / shopping plan / phased upgrade roadmap</x:t>
        </x:is>
      </x:c>
      <x:c r="Y304" s="5" t="inlineStr">
        <x:is>
          <x:t xml:space="preserve">Design plan feels cohesive, practical, and matched to lifestyle goals.</x:t>
        </x:is>
      </x:c>
      <x:c r="Z304" s="5" t="inlineStr">
        <x:is>
          <x:t xml:space="preserve">Pretty but impractical suggestions, no budget logic, or weak taste alignment.</x:t>
        </x:is>
      </x:c>
      <x:c r="AA304" s="5" t="inlineStr">
        <x:is>
          <x:t xml:space="preserve">design preference memory / shopping integration / image workflow</x:t>
        </x:is>
      </x:c>
      <x:c r="AB304" s="5" t="inlineStr">
        <x:is>
          <x:t xml:space="preserve"/>
        </x:is>
      </x:c>
      <x:c r="AC304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04" s="5" t="inlineStr">
        <x:is>
          <x:t xml:space="preserve">ThinkLab 2025 design benchmark; Houzz 2025 AI in construction &amp; design; Canadian Contractor/Mattoboard survey 2025</x:t>
        </x:is>
      </x:c>
      <x:c r="AE304" s="11">
        <x:f>IF(O304="High",20,IF(O304="Medium",10,IF(O304="Low",5,0)))+IF(P304="High",20,IF(P304="Medium",10,IF(P304="Low",5,0)))+IF(Q304="High",20,IF(Q304="Medium",10,IF(Q304="Low",5,0)))+IF(R304="High",20,IF(R304="Medium",10,IF(R304="Low",5,0)))+IF(S304="High",20,IF(S304="Medium",10,IF(S304="Low",5,0)))</x:f>
        <x:v>50</x:v>
      </x:c>
      <x:c r="AF304" s="12">
        <x:f>ROUND(H304*0.30+J304*0.25+K304*0.20+(100-AE304)*0.10+(100-(V304*20))*0.15,0)</x:f>
        <x:v>51</x:v>
      </x:c>
      <x:c r="AG304" s="13" t="str">
        <x:f>IF(AF304&gt;=80,"Batch 1",IF(AF304&gt;=70,"Batch 2",IF(AF304&gt;=60,"Batch 3","Backlog")))</x:f>
        <x:v>Backlog</x:v>
      </x:c>
      <x:c r="AH304" t="inlineStr">
        <x:is>
          <x:t xml:space="preserve"/>
        </x:is>
      </x:c>
    </x:row>
    <x:row r="305">
      <x:c r="A305" s="5" t="inlineStr">
        <x:is>
          <x:t xml:space="preserve">GPO-HOM-14</x:t>
        </x:is>
      </x:c>
      <x:c r="B305" s="5" t="n">
        <x:v>301</x:v>
      </x:c>
      <x:c r="C305" s="5" t="inlineStr">
        <x:is>
          <x:t xml:space="preserve">Home &amp; Lifestyle Design</x:t>
        </x:is>
      </x:c>
      <x:c r="D305" s="5" t="inlineStr">
        <x:is>
          <x:t xml:space="preserve">Design</x:t>
        </x:is>
      </x:c>
      <x:c r="E305" s="5" t="inlineStr">
        <x:is>
          <x:t xml:space="preserve">Expansion 150</x:t>
        </x:is>
      </x:c>
      <x:c r="F305" s="5" t="n">
        <x:v>14</x:v>
      </x:c>
      <x:c r="G305" s="5" t="inlineStr">
        <x:is>
          <x:t xml:space="preserve">Compare appliance/TV/audio/home-tech choices for a cohesive ecosystem.</x:t>
        </x:is>
      </x:c>
      <x:c r="H305" s="6" t="n">
        <x:v>36</x:v>
      </x:c>
      <x:c r="I305" s="6" t="n">
        <x:v>36</x:v>
      </x:c>
      <x:c r="J305" s="7" t="n">
        <x:v>64</x:v>
      </x:c>
      <x:c r="K305" s="7" t="n">
        <x:v>49</x:v>
      </x:c>
      <x:c r="L305" s="8" t="inlineStr">
        <x:is>
          <x:t xml:space="preserve">UNTESTED</x:t>
        </x:is>
      </x:c>
      <x:c r="M305" s="9" t="inlineStr">
        <x:is>
          <x:t xml:space="preserve">UNTESTED</x:t>
        </x:is>
      </x:c>
      <x:c r="N305" s="5" t="inlineStr">
        <x:is>
          <x:t xml:space="preserve">space planning; product curation; aesthetic reasoning; phased project planning</x:t>
        </x:is>
      </x:c>
      <x:c r="O305" s="5" t="inlineStr">
        <x:is>
          <x:t xml:space="preserve">Medium</x:t>
        </x:is>
      </x:c>
      <x:c r="P305" s="5" t="inlineStr">
        <x:is>
          <x:t xml:space="preserve">High</x:t>
        </x:is>
      </x:c>
      <x:c r="Q305" s="5" t="inlineStr">
        <x:is>
          <x:t xml:space="preserve">Medium</x:t>
        </x:is>
      </x:c>
      <x:c r="R305" s="5" t="inlineStr">
        <x:is>
          <x:t xml:space="preserve">Low</x:t>
        </x:is>
      </x:c>
      <x:c r="S305" s="5" t="inlineStr">
        <x:is>
          <x:t xml:space="preserve">Low</x:t>
        </x:is>
      </x:c>
      <x:c r="T305" s="5" t="inlineStr">
        <x:is>
          <x:t xml:space="preserve">ChatGPT with web; image/design tools later</x:t>
        </x:is>
      </x:c>
      <x:c r="U305" s="5" t="inlineStr">
        <x:is>
          <x:t xml:space="preserve">Medium</x:t>
        </x:is>
      </x:c>
      <x:c r="V305" s="10" t="n">
        <x:v>2</x:v>
      </x:c>
      <x:c r="W305" s="5" t="inlineStr">
        <x:is>
          <x:t xml:space="preserve">Design brief generation + feasibility review</x:t>
        </x:is>
      </x:c>
      <x:c r="X305" s="5" t="inlineStr">
        <x:is>
          <x:t xml:space="preserve">layout / shopping plan / phased upgrade roadmap</x:t>
        </x:is>
      </x:c>
      <x:c r="Y305" s="5" t="inlineStr">
        <x:is>
          <x:t xml:space="preserve">Design plan feels cohesive, practical, and matched to lifestyle goals.</x:t>
        </x:is>
      </x:c>
      <x:c r="Z305" s="5" t="inlineStr">
        <x:is>
          <x:t xml:space="preserve">Pretty but impractical suggestions, no budget logic, or weak taste alignment.</x:t>
        </x:is>
      </x:c>
      <x:c r="AA305" s="5" t="inlineStr">
        <x:is>
          <x:t xml:space="preserve">design preference memory / shopping integration / image workflow</x:t>
        </x:is>
      </x:c>
      <x:c r="AB305" s="5" t="inlineStr">
        <x:is>
          <x:t xml:space="preserve"/>
        </x:is>
      </x:c>
      <x:c r="AC305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05" s="5" t="inlineStr">
        <x:is>
          <x:t xml:space="preserve">ThinkLab 2025 design benchmark; Houzz 2025 AI in construction &amp; design; Canadian Contractor/Mattoboard survey 2025</x:t>
        </x:is>
      </x:c>
      <x:c r="AE305" s="11">
        <x:f>IF(O305="High",20,IF(O305="Medium",10,IF(O305="Low",5,0)))+IF(P305="High",20,IF(P305="Medium",10,IF(P305="Low",5,0)))+IF(Q305="High",20,IF(Q305="Medium",10,IF(Q305="Low",5,0)))+IF(R305="High",20,IF(R305="Medium",10,IF(R305="Low",5,0)))+IF(S305="High",20,IF(S305="Medium",10,IF(S305="Low",5,0)))</x:f>
        <x:v>50</x:v>
      </x:c>
      <x:c r="AF305" s="12">
        <x:f>ROUND(H305*0.30+J305*0.25+K305*0.20+(100-AE305)*0.10+(100-(V305*20))*0.15,0)</x:f>
        <x:v>51</x:v>
      </x:c>
      <x:c r="AG305" s="13" t="str">
        <x:f>IF(AF305&gt;=80,"Batch 1",IF(AF305&gt;=70,"Batch 2",IF(AF305&gt;=60,"Batch 3","Backlog")))</x:f>
        <x:v>Backlog</x:v>
      </x:c>
      <x:c r="AH305" t="inlineStr">
        <x:is>
          <x:t xml:space="preserve"/>
        </x:is>
      </x:c>
    </x:row>
    <x:row r="306">
      <x:c r="A306" s="5" t="inlineStr">
        <x:is>
          <x:t xml:space="preserve">GPO-SCH-24</x:t>
        </x:is>
      </x:c>
      <x:c r="B306" s="5" t="n">
        <x:v>302</x:v>
      </x:c>
      <x:c r="C306" s="5" t="inlineStr">
        <x:is>
          <x:t xml:space="preserve">Scheduling &amp; Life Operations</x:t>
        </x:is>
      </x:c>
      <x:c r="D306" s="5" t="inlineStr">
        <x:is>
          <x:t xml:space="preserve">Operate</x:t>
        </x:is>
      </x:c>
      <x:c r="E306" s="5" t="inlineStr">
        <x:is>
          <x:t xml:space="preserve">Stretch 60</x:t>
        </x:is>
      </x:c>
      <x:c r="F306" s="5" t="n">
        <x:v>24</x:v>
      </x:c>
      <x:c r="G306" s="5" t="inlineStr">
        <x:is>
          <x:t xml:space="preserve">Turn scattered reminders from chat, notes, and docs into one trusted execution system.</x:t>
        </x:is>
      </x:c>
      <x:c r="H306" s="6" t="n">
        <x:v>38</x:v>
      </x:c>
      <x:c r="I306" s="6" t="n">
        <x:v>38</x:v>
      </x:c>
      <x:c r="J306" s="7" t="n">
        <x:v>61</x:v>
      </x:c>
      <x:c r="K306" s="7" t="n">
        <x:v>48</x:v>
      </x:c>
      <x:c r="L306" s="8" t="inlineStr">
        <x:is>
          <x:t xml:space="preserve">UNTESTED</x:t>
        </x:is>
      </x:c>
      <x:c r="M306" s="9" t="inlineStr">
        <x:is>
          <x:t xml:space="preserve">UNTESTED</x:t>
        </x:is>
      </x:c>
      <x:c r="N306" s="5" t="inlineStr">
        <x:is>
          <x:t xml:space="preserve">task planning; prioritization; calendar reasoning; personal constraints handling</x:t>
        </x:is>
      </x:c>
      <x:c r="O306" s="5" t="inlineStr">
        <x:is>
          <x:t xml:space="preserve">Low</x:t>
        </x:is>
      </x:c>
      <x:c r="P306" s="5" t="inlineStr">
        <x:is>
          <x:t xml:space="preserve">High</x:t>
        </x:is>
      </x:c>
      <x:c r="Q306" s="5" t="inlineStr">
        <x:is>
          <x:t xml:space="preserve">Medium</x:t>
        </x:is>
      </x:c>
      <x:c r="R306" s="5" t="inlineStr">
        <x:is>
          <x:t xml:space="preserve">Low</x:t>
        </x:is>
      </x:c>
      <x:c r="S306" s="5" t="inlineStr">
        <x:is>
          <x:t xml:space="preserve">Low</x:t>
        </x:is>
      </x:c>
      <x:c r="T306" s="5" t="inlineStr">
        <x:is>
          <x:t xml:space="preserve">ChatGPT primary; calendar integrations later</x:t>
        </x:is>
      </x:c>
      <x:c r="U306" s="5" t="inlineStr">
        <x:is>
          <x:t xml:space="preserve">Hard</x:t>
        </x:is>
      </x:c>
      <x:c r="V306" s="10" t="n">
        <x:v>3</x:v>
      </x:c>
      <x:c r="W306" s="5" t="inlineStr">
        <x:is>
          <x:t xml:space="preserve">Scenario-based planning + operator utility review</x:t>
        </x:is>
      </x:c>
      <x:c r="X306" s="5" t="inlineStr">
        <x:is>
          <x:t xml:space="preserve">schedule / checklist / operating plan</x:t>
        </x:is>
      </x:c>
      <x:c r="Y306" s="5" t="inlineStr">
        <x:is>
          <x:t xml:space="preserve">Plan is realistic, prioritized, and executable under stated constraints.</x:t>
        </x:is>
      </x:c>
      <x:c r="Z306" s="5" t="inlineStr">
        <x:is>
          <x:t xml:space="preserve">Overpacked schedule, ignored constraints, or vague next steps.</x:t>
        </x:is>
      </x:c>
      <x:c r="AA306" s="5" t="inlineStr">
        <x:is>
          <x:t xml:space="preserve">planner engine / memory / calendar-tool integration</x:t>
        </x:is>
      </x:c>
      <x:c r="AB306" s="5" t="inlineStr">
        <x:is>
          <x:t xml:space="preserve"/>
        </x:is>
      </x:c>
      <x:c r="AC306" s="5" t="inlineStr">
        <x:is>
          <x:t xml:space="preserve">Menlo consumer AI: 18% use AI to manage to-do lists and 15% to organize notes; Zao-Sanders ranked 'Organise my life' #2.</x:t>
        </x:is>
      </x:c>
      <x:c r="AD306" s="5" t="inlineStr">
        <x:is>
          <x:t xml:space="preserve">Menlo State of Consumer AI 2025; Zao-Sanders Top-100 GenAI Use Cases 2025</x:t>
        </x:is>
      </x:c>
      <x:c r="AE306" s="11">
        <x:f>IF(O306="High",20,IF(O306="Medium",10,IF(O306="Low",5,0)))+IF(P306="High",20,IF(P306="Medium",10,IF(P306="Low",5,0)))+IF(Q306="High",20,IF(Q306="Medium",10,IF(Q306="Low",5,0)))+IF(R306="High",20,IF(R306="Medium",10,IF(R306="Low",5,0)))+IF(S306="High",20,IF(S306="Medium",10,IF(S306="Low",5,0)))</x:f>
        <x:v>45</x:v>
      </x:c>
      <x:c r="AF306" s="12">
        <x:f>ROUND(H306*0.30+J306*0.25+K306*0.20+(100-AE306)*0.10+(100-(V306*20))*0.15,0)</x:f>
        <x:v>48</x:v>
      </x:c>
      <x:c r="AG306" s="13" t="str">
        <x:f>IF(AF306&gt;=80,"Batch 1",IF(AF306&gt;=70,"Batch 2",IF(AF306&gt;=60,"Batch 3","Backlog")))</x:f>
        <x:v>Backlog</x:v>
      </x:c>
      <x:c r="AH306" t="inlineStr">
        <x:is>
          <x:t xml:space="preserve"/>
        </x:is>
      </x:c>
    </x:row>
    <x:row r="307">
      <x:c r="A307" s="5" t="inlineStr">
        <x:is>
          <x:t xml:space="preserve">GPO-SCR-21</x:t>
        </x:is>
      </x:c>
      <x:c r="B307" s="5" t="n">
        <x:v>303</x:v>
      </x:c>
      <x:c r="C307" s="5" t="inlineStr">
        <x:is>
          <x:t xml:space="preserve">Screenwriting &amp; Story Development</x:t>
        </x:is>
      </x:c>
      <x:c r="D307" s="5" t="inlineStr">
        <x:is>
          <x:t xml:space="preserve">Create</x:t>
        </x:is>
      </x:c>
      <x:c r="E307" s="5" t="inlineStr">
        <x:is>
          <x:t xml:space="preserve">Stretch 60</x:t>
        </x:is>
      </x:c>
      <x:c r="F307" s="5" t="n">
        <x:v>21</x:v>
      </x:c>
      <x:c r="G307" s="5" t="inlineStr">
        <x:is>
          <x:t xml:space="preserve">Build a story development system that moves from theme to outline to draft without losing soul.</x:t>
        </x:is>
      </x:c>
      <x:c r="H307" s="6" t="n">
        <x:v>38</x:v>
      </x:c>
      <x:c r="I307" s="6" t="n">
        <x:v>38</x:v>
      </x:c>
      <x:c r="J307" s="7" t="n">
        <x:v>61</x:v>
      </x:c>
      <x:c r="K307" s="7" t="n">
        <x:v>48</x:v>
      </x:c>
      <x:c r="L307" s="8" t="inlineStr">
        <x:is>
          <x:t xml:space="preserve">UNTESTED</x:t>
        </x:is>
      </x:c>
      <x:c r="M307" s="9" t="inlineStr">
        <x:is>
          <x:t xml:space="preserve">UNTESTED</x:t>
        </x:is>
      </x:c>
      <x:c r="N307" s="5" t="inlineStr">
        <x:is>
          <x:t xml:space="preserve">creative ideation; story structure; tone control; character design</x:t>
        </x:is>
      </x:c>
      <x:c r="O307" s="5" t="inlineStr">
        <x:is>
          <x:t xml:space="preserve">Low</x:t>
        </x:is>
      </x:c>
      <x:c r="P307" s="5" t="inlineStr">
        <x:is>
          <x:t xml:space="preserve">Medium</x:t>
        </x:is>
      </x:c>
      <x:c r="Q307" s="5" t="inlineStr">
        <x:is>
          <x:t xml:space="preserve">Low</x:t>
        </x:is>
      </x:c>
      <x:c r="R307" s="5" t="inlineStr">
        <x:is>
          <x:t xml:space="preserve">Low</x:t>
        </x:is>
      </x:c>
      <x:c r="S307" s="5" t="inlineStr">
        <x:is>
          <x:t xml:space="preserve">Low</x:t>
        </x:is>
      </x:c>
      <x:c r="T307" s="5" t="inlineStr">
        <x:is>
          <x:t xml:space="preserve">ChatGPT or Claude creative mode</x:t>
        </x:is>
      </x:c>
      <x:c r="U307" s="5" t="inlineStr">
        <x:is>
          <x:t xml:space="preserve">Hard</x:t>
        </x:is>
      </x:c>
      <x:c r="V307" s="10" t="n">
        <x:v>3</x:v>
      </x:c>
      <x:c r="W307" s="5" t="inlineStr">
        <x:is>
          <x:t xml:space="preserve">Creative prompt run + human taste review</x:t>
        </x:is>
      </x:c>
      <x:c r="X307" s="5" t="inlineStr">
        <x:is>
          <x:t xml:space="preserve">logline / outline / scene rewrite / treatment</x:t>
        </x:is>
      </x:c>
      <x:c r="Y307" s="5" t="inlineStr">
        <x:is>
          <x:t xml:space="preserve">Story work feels coherent, original, and emotionally alive.</x:t>
        </x:is>
      </x:c>
      <x:c r="Z307" s="5" t="inlineStr">
        <x:is>
          <x:t xml:space="preserve">Cliche ideas, flat dialogue, weak stakes, or no tonal discipline.</x:t>
        </x:is>
      </x:c>
      <x:c r="AA307" s="5" t="inlineStr">
        <x:is>
          <x:t xml:space="preserve">creative mode / style packs / development workflow</x:t>
        </x:is>
      </x:c>
      <x:c r="AB307" s="5" t="inlineStr">
        <x:is>
          <x:t xml:space="preserve"/>
        </x:is>
      </x:c>
      <x:c r="AC307" s="5" t="inlineStr">
        <x:is>
          <x:t xml:space="preserve">OpenAI practical guidance includes creative ideation; creator surveys show broad use of generative AI in creative workflows.</x:t>
        </x:is>
      </x:c>
      <x:c r="AD307" s="5" t="inlineStr">
        <x:is>
          <x:t xml:space="preserve">OpenAI How People Use ChatGPT paper; Adobe creators survey 2025; Wondercraft/Digiday creator workflow survey 2025</x:t>
        </x:is>
      </x:c>
      <x:c r="AE307" s="11">
        <x:f>IF(O307="High",20,IF(O307="Medium",10,IF(O307="Low",5,0)))+IF(P307="High",20,IF(P307="Medium",10,IF(P307="Low",5,0)))+IF(Q307="High",20,IF(Q307="Medium",10,IF(Q307="Low",5,0)))+IF(R307="High",20,IF(R307="Medium",10,IF(R307="Low",5,0)))+IF(S307="High",20,IF(S307="Medium",10,IF(S307="Low",5,0)))</x:f>
        <x:v>30</x:v>
      </x:c>
      <x:c r="AF307" s="12">
        <x:f>ROUND(H307*0.30+J307*0.25+K307*0.20+(100-AE307)*0.10+(100-(V307*20))*0.15,0)</x:f>
        <x:v>49</x:v>
      </x:c>
      <x:c r="AG307" s="13" t="str">
        <x:f>IF(AF307&gt;=80,"Batch 1",IF(AF307&gt;=70,"Batch 2",IF(AF307&gt;=60,"Batch 3","Backlog")))</x:f>
        <x:v>Backlog</x:v>
      </x:c>
      <x:c r="AH307" t="inlineStr">
        <x:is>
          <x:t xml:space="preserve"/>
        </x:is>
      </x:c>
    </x:row>
    <x:row r="308">
      <x:c r="A308" s="5" t="inlineStr">
        <x:is>
          <x:t xml:space="preserve">GPO-STA-22</x:t>
        </x:is>
      </x:c>
      <x:c r="B308" s="5" t="n">
        <x:v>304</x:v>
      </x:c>
      <x:c r="C308" s="5" t="inlineStr">
        <x:is>
          <x:t xml:space="preserve">Startup &amp; Business Builder</x:t>
        </x:is>
      </x:c>
      <x:c r="D308" s="5" t="inlineStr">
        <x:is>
          <x:t xml:space="preserve">Build</x:t>
        </x:is>
      </x:c>
      <x:c r="E308" s="5" t="inlineStr">
        <x:is>
          <x:t xml:space="preserve">Stretch 60</x:t>
        </x:is>
      </x:c>
      <x:c r="F308" s="5" t="n">
        <x:v>22</x:v>
      </x:c>
      <x:c r="G308" s="5" t="inlineStr">
        <x:is>
          <x:t xml:space="preserve">Create a go-to-market experiment ladder with kill criteria and scale criteria.</x:t>
        </x:is>
      </x:c>
      <x:c r="H308" s="6" t="n">
        <x:v>38</x:v>
      </x:c>
      <x:c r="I308" s="6" t="n">
        <x:v>38</x:v>
      </x:c>
      <x:c r="J308" s="7" t="n">
        <x:v>61</x:v>
      </x:c>
      <x:c r="K308" s="7" t="n">
        <x:v>48</x:v>
      </x:c>
      <x:c r="L308" s="8" t="inlineStr">
        <x:is>
          <x:t xml:space="preserve">UNTESTED</x:t>
        </x:is>
      </x:c>
      <x:c r="M308" s="9" t="inlineStr">
        <x:is>
          <x:t xml:space="preserve">UNTESTED</x:t>
        </x:is>
      </x:c>
      <x:c r="N308" s="5" t="inlineStr">
        <x:is>
          <x:t xml:space="preserve">strategy; product thinking; GTM reasoning; structured planning</x:t>
        </x:is>
      </x:c>
      <x:c r="O308" s="5" t="inlineStr">
        <x:is>
          <x:t xml:space="preserve">Medium</x:t>
        </x:is>
      </x:c>
      <x:c r="P308" s="5" t="inlineStr">
        <x:is>
          <x:t xml:space="preserve">High</x:t>
        </x:is>
      </x:c>
      <x:c r="Q308" s="5" t="inlineStr">
        <x:is>
          <x:t xml:space="preserve">Low</x:t>
        </x:is>
      </x:c>
      <x:c r="R308" s="5" t="inlineStr">
        <x:is>
          <x:t xml:space="preserve">Medium</x:t>
        </x:is>
      </x:c>
      <x:c r="S308" s="5" t="inlineStr">
        <x:is>
          <x:t xml:space="preserve">Low</x:t>
        </x:is>
      </x:c>
      <x:c r="T308" s="5" t="inlineStr">
        <x:is>
          <x:t xml:space="preserve">Claude + ChatGPT combo</x:t>
        </x:is>
      </x:c>
      <x:c r="U308" s="5" t="inlineStr">
        <x:is>
          <x:t xml:space="preserve">Hard</x:t>
        </x:is>
      </x:c>
      <x:c r="V308" s="10" t="n">
        <x:v>3</x:v>
      </x:c>
      <x:c r="W308" s="5" t="inlineStr">
        <x:is>
          <x:t xml:space="preserve">Plan generation + critique + strategic review</x:t>
        </x:is>
      </x:c>
      <x:c r="X308" s="5" t="inlineStr">
        <x:is>
          <x:t xml:space="preserve">roadmap / GTM plan / business memo</x:t>
        </x:is>
      </x:c>
      <x:c r="Y308" s="5" t="inlineStr">
        <x:is>
          <x:t xml:space="preserve">Recommendation is strategically sharp, prioritized, and grounded in market reality.</x:t>
        </x:is>
      </x:c>
      <x:c r="Z308" s="5" t="inlineStr">
        <x:is>
          <x:t xml:space="preserve">Buzzwordy output, no wedge, weak prioritization, or unearned confidence.</x:t>
        </x:is>
      </x:c>
      <x:c r="AA308" s="5" t="inlineStr">
        <x:is>
          <x:t xml:space="preserve">strategy templates / board logic / critique loop</x:t>
        </x:is>
      </x:c>
      <x:c r="AB308" s="5" t="inlineStr">
        <x:is>
          <x:t xml:space="preserve"/>
        </x:is>
      </x:c>
      <x:c r="AC308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308" s="5" t="inlineStr">
        <x:is>
          <x:t xml:space="preserve">OpenAI How People Use ChatGPT paper; Menlo State of Consumer AI 2025; Menlo AI UI Problem 2025</x:t>
        </x:is>
      </x:c>
      <x:c r="AE308" s="11">
        <x:f>IF(O308="High",20,IF(O308="Medium",10,IF(O308="Low",5,0)))+IF(P308="High",20,IF(P308="Medium",10,IF(P308="Low",5,0)))+IF(Q308="High",20,IF(Q308="Medium",10,IF(Q308="Low",5,0)))+IF(R308="High",20,IF(R308="Medium",10,IF(R308="Low",5,0)))+IF(S308="High",20,IF(S308="Medium",10,IF(S308="Low",5,0)))</x:f>
        <x:v>50</x:v>
      </x:c>
      <x:c r="AF308" s="12">
        <x:f>ROUND(H308*0.30+J308*0.25+K308*0.20+(100-AE308)*0.10+(100-(V308*20))*0.15,0)</x:f>
        <x:v>47</x:v>
      </x:c>
      <x:c r="AG308" s="13" t="str">
        <x:f>IF(AF308&gt;=80,"Batch 1",IF(AF308&gt;=70,"Batch 2",IF(AF308&gt;=60,"Batch 3","Backlog")))</x:f>
        <x:v>Backlog</x:v>
      </x:c>
      <x:c r="AH308" t="inlineStr">
        <x:is>
          <x:t xml:space="preserve"/>
        </x:is>
      </x:c>
    </x:row>
    <x:row r="309">
      <x:c r="A309" s="5" t="inlineStr">
        <x:is>
          <x:t xml:space="preserve">GPO-TRA-23</x:t>
        </x:is>
      </x:c>
      <x:c r="B309" s="5" t="n">
        <x:v>305</x:v>
      </x:c>
      <x:c r="C309" s="5" t="inlineStr">
        <x:is>
          <x:t xml:space="preserve">Travel &amp; Relocation Planner</x:t>
        </x:is>
      </x:c>
      <x:c r="D309" s="5" t="inlineStr">
        <x:is>
          <x:t xml:space="preserve">Move</x:t>
        </x:is>
      </x:c>
      <x:c r="E309" s="5" t="inlineStr">
        <x:is>
          <x:t xml:space="preserve">Stretch 60</x:t>
        </x:is>
      </x:c>
      <x:c r="F309" s="5" t="n">
        <x:v>23</x:v>
      </x:c>
      <x:c r="G309" s="5" t="inlineStr">
        <x:is>
          <x:t xml:space="preserve">Generate a travel-risk packet covering documents, backups, insurance, and contingency plans.</x:t>
        </x:is>
      </x:c>
      <x:c r="H309" s="6" t="n">
        <x:v>38</x:v>
      </x:c>
      <x:c r="I309" s="6" t="n">
        <x:v>38</x:v>
      </x:c>
      <x:c r="J309" s="7" t="n">
        <x:v>61</x:v>
      </x:c>
      <x:c r="K309" s="7" t="n">
        <x:v>48</x:v>
      </x:c>
      <x:c r="L309" s="8" t="inlineStr">
        <x:is>
          <x:t xml:space="preserve">UNTESTED</x:t>
        </x:is>
      </x:c>
      <x:c r="M309" s="9" t="inlineStr">
        <x:is>
          <x:t xml:space="preserve">UNTESTED</x:t>
        </x:is>
      </x:c>
      <x:c r="N309" s="5" t="inlineStr">
        <x:is>
          <x:t xml:space="preserve">travel research; itinerary planning; logistics reasoning; contingency planning</x:t>
        </x:is>
      </x:c>
      <x:c r="O309" s="5" t="inlineStr">
        <x:is>
          <x:t xml:space="preserve">High</x:t>
        </x:is>
      </x:c>
      <x:c r="P309" s="5" t="inlineStr">
        <x:is>
          <x:t xml:space="preserve">Medium</x:t>
        </x:is>
      </x:c>
      <x:c r="Q309" s="5" t="inlineStr">
        <x:is>
          <x:t xml:space="preserve">Medium</x:t>
        </x:is>
      </x:c>
      <x:c r="R309" s="5" t="inlineStr">
        <x:is>
          <x:t xml:space="preserve">Low</x:t>
        </x:is>
      </x:c>
      <x:c r="S309" s="5" t="inlineStr">
        <x:is>
          <x:t xml:space="preserve">Low</x:t>
        </x:is>
      </x:c>
      <x:c r="T309" s="5" t="inlineStr">
        <x:is>
          <x:t xml:space="preserve">ChatGPT with web; maps/calendar later</x:t>
        </x:is>
      </x:c>
      <x:c r="U309" s="5" t="inlineStr">
        <x:is>
          <x:t xml:space="preserve">Hard</x:t>
        </x:is>
      </x:c>
      <x:c r="V309" s="10" t="n">
        <x:v>3</x:v>
      </x:c>
      <x:c r="W309" s="5" t="inlineStr">
        <x:is>
          <x:t xml:space="preserve">Live trip planning + feasibility review</x:t>
        </x:is>
      </x:c>
      <x:c r="X309" s="5" t="inlineStr">
        <x:is>
          <x:t xml:space="preserve">itinerary / relocation plan / checklist</x:t>
        </x:is>
      </x:c>
      <x:c r="Y309" s="5" t="inlineStr">
        <x:is>
          <x:t xml:space="preserve">Plan is current, geographically sensible, and tuned to budget/constraints.</x:t>
        </x:is>
      </x:c>
      <x:c r="Z309" s="5" t="inlineStr">
        <x:is>
          <x:t xml:space="preserve">Bad logistics, stale info, wrong timing, or generic travel advice.</x:t>
        </x:is>
      </x:c>
      <x:c r="AA309" s="5" t="inlineStr">
        <x:is>
          <x:t xml:space="preserve">travel templates / web + mapping integration / logistics engine</x:t>
        </x:is>
      </x:c>
      <x:c r="AB309" s="5" t="inlineStr">
        <x:is>
          <x:t xml:space="preserve"/>
        </x:is>
      </x:c>
      <x:c r="AC309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309" s="5" t="inlineStr">
        <x:is>
          <x:t xml:space="preserve">Deloitte Connected Consumer 2025; Adobe travel planning 2025</x:t>
        </x:is>
      </x:c>
      <x:c r="AE309" s="11">
        <x:f>IF(O309="High",20,IF(O309="Medium",10,IF(O309="Low",5,0)))+IF(P309="High",20,IF(P309="Medium",10,IF(P309="Low",5,0)))+IF(Q309="High",20,IF(Q309="Medium",10,IF(Q309="Low",5,0)))+IF(R309="High",20,IF(R309="Medium",10,IF(R309="Low",5,0)))+IF(S309="High",20,IF(S309="Medium",10,IF(S309="Low",5,0)))</x:f>
        <x:v>50</x:v>
      </x:c>
      <x:c r="AF309" s="12">
        <x:f>ROUND(H309*0.30+J309*0.25+K309*0.20+(100-AE309)*0.10+(100-(V309*20))*0.15,0)</x:f>
        <x:v>47</x:v>
      </x:c>
      <x:c r="AG309" s="13" t="str">
        <x:f>IF(AF309&gt;=80,"Batch 1",IF(AF309&gt;=70,"Batch 2",IF(AF309&gt;=60,"Batch 3","Backlog")))</x:f>
        <x:v>Backlog</x:v>
      </x:c>
      <x:c r="AH309" t="inlineStr">
        <x:is>
          <x:t xml:space="preserve"/>
        </x:is>
      </x:c>
    </x:row>
    <x:row r="310">
      <x:c r="A310" s="5" t="inlineStr">
        <x:is>
          <x:t xml:space="preserve">GPO-HEA-19</x:t>
        </x:is>
      </x:c>
      <x:c r="B310" s="5" t="n">
        <x:v>306</x:v>
      </x:c>
      <x:c r="C310" s="5" t="inlineStr">
        <x:is>
          <x:t xml:space="preserve">Health &amp; Wellness Coach</x:t>
        </x:is>
      </x:c>
      <x:c r="D310" s="5" t="inlineStr">
        <x:is>
          <x:t xml:space="preserve">Care</x:t>
        </x:is>
      </x:c>
      <x:c r="E310" s="5" t="inlineStr">
        <x:is>
          <x:t xml:space="preserve">Expansion 150</x:t>
        </x:is>
      </x:c>
      <x:c r="F310" s="5" t="n">
        <x:v>19</x:v>
      </x:c>
      <x:c r="G310" s="5" t="inlineStr">
        <x:is>
          <x:t xml:space="preserve">Help me prepare the right questions before a doctor or dentist appointment.</x:t>
        </x:is>
      </x:c>
      <x:c r="H310" s="6" t="n">
        <x:v>47</x:v>
      </x:c>
      <x:c r="I310" s="6" t="n">
        <x:v>47</x:v>
      </x:c>
      <x:c r="J310" s="7" t="n">
        <x:v>48</x:v>
      </x:c>
      <x:c r="K310" s="7" t="n">
        <x:v>47</x:v>
      </x:c>
      <x:c r="L310" s="8" t="inlineStr">
        <x:is>
          <x:t xml:space="preserve">UNTESTED</x:t>
        </x:is>
      </x:c>
      <x:c r="M310" s="9" t="inlineStr">
        <x:is>
          <x:t xml:space="preserve">UNTESTED</x:t>
        </x:is>
      </x:c>
      <x:c r="N310" s="5" t="inlineStr">
        <x:is>
          <x:t xml:space="preserve">health explanation; risk framing; behavior coaching; careful disclaimer handling</x:t>
        </x:is>
      </x:c>
      <x:c r="O310" s="5" t="inlineStr">
        <x:is>
          <x:t xml:space="preserve">Medium</x:t>
        </x:is>
      </x:c>
      <x:c r="P310" s="5" t="inlineStr">
        <x:is>
          <x:t xml:space="preserve">High</x:t>
        </x:is>
      </x:c>
      <x:c r="Q310" s="5" t="inlineStr">
        <x:is>
          <x:t xml:space="preserve">Low</x:t>
        </x:is>
      </x:c>
      <x:c r="R310" s="5" t="inlineStr">
        <x:is>
          <x:t xml:space="preserve">Low</x:t>
        </x:is>
      </x:c>
      <x:c r="S310" s="5" t="inlineStr">
        <x:is>
          <x:t xml:space="preserve">Medium</x:t>
        </x:is>
      </x:c>
      <x:c r="T310" s="5" t="inlineStr">
        <x:is>
          <x:t xml:space="preserve">ChatGPT primary with careful guardrails</x:t>
        </x:is>
      </x:c>
      <x:c r="U310" s="5" t="inlineStr">
        <x:is>
          <x:t xml:space="preserve">Medium</x:t>
        </x:is>
      </x:c>
      <x:c r="V310" s="10" t="n">
        <x:v>2</x:v>
      </x:c>
      <x:c r="W310" s="5" t="inlineStr">
        <x:is>
          <x:t xml:space="preserve">Scenario prompts + safety review + usefulness review</x:t>
        </x:is>
      </x:c>
      <x:c r="X310" s="5" t="inlineStr">
        <x:is>
          <x:t xml:space="preserve">plan / explanation / checklist / prep brief</x:t>
        </x:is>
      </x:c>
      <x:c r="Y310" s="5" t="inlineStr">
        <x:is>
          <x:t xml:space="preserve">Useful, cautious, practical guidance that stays within safe boundaries.</x:t>
        </x:is>
      </x:c>
      <x:c r="Z310" s="5" t="inlineStr">
        <x:is>
          <x:t xml:space="preserve">Overconfident medical claims, weak escalation guidance, or unsafe advice.</x:t>
        </x:is>
      </x:c>
      <x:c r="AA310" s="5" t="inlineStr">
        <x:is>
          <x:t xml:space="preserve">safety layer / health mode / evidence grounding</x:t>
        </x:is>
      </x:c>
      <x:c r="AB310" s="5" t="inlineStr">
        <x:is>
          <x:t xml:space="preserve"/>
        </x:is>
      </x:c>
      <x:c r="AC310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10" s="5" t="inlineStr">
        <x:is>
          <x:t xml:space="preserve">OpenAI Introducing GPT-5; APPC 2025 health survey; Deloitte Connected Consumer 2025</x:t>
        </x:is>
      </x:c>
      <x:c r="AE310" s="11">
        <x:f>IF(O310="High",20,IF(O310="Medium",10,IF(O310="Low",5,0)))+IF(P310="High",20,IF(P310="Medium",10,IF(P310="Low",5,0)))+IF(Q310="High",20,IF(Q310="Medium",10,IF(Q310="Low",5,0)))+IF(R310="High",20,IF(R310="Medium",10,IF(R310="Low",5,0)))+IF(S310="High",20,IF(S310="Medium",10,IF(S310="Low",5,0)))</x:f>
        <x:v>50</x:v>
      </x:c>
      <x:c r="AF310" s="12">
        <x:f>ROUND(H310*0.30+J310*0.25+K310*0.20+(100-AE310)*0.10+(100-(V310*20))*0.15,0)</x:f>
        <x:v>50</x:v>
      </x:c>
      <x:c r="AG310" s="13" t="str">
        <x:f>IF(AF310&gt;=80,"Batch 1",IF(AF310&gt;=70,"Batch 2",IF(AF310&gt;=60,"Batch 3","Backlog")))</x:f>
        <x:v>Backlog</x:v>
      </x:c>
      <x:c r="AH310" t="inlineStr">
        <x:is>
          <x:t xml:space="preserve"/>
        </x:is>
      </x:c>
    </x:row>
    <x:row r="311">
      <x:c r="A311" s="5" t="inlineStr">
        <x:is>
          <x:t xml:space="preserve">GPO-MUS-12</x:t>
        </x:is>
      </x:c>
      <x:c r="B311" s="5" t="n">
        <x:v>307</x:v>
      </x:c>
      <x:c r="C311" s="5" t="inlineStr">
        <x:is>
          <x:t xml:space="preserve">Music &amp; Audio Creation</x:t>
        </x:is>
      </x:c>
      <x:c r="D311" s="5" t="inlineStr">
        <x:is>
          <x:t xml:space="preserve">Create</x:t>
        </x:is>
      </x:c>
      <x:c r="E311" s="5" t="inlineStr">
        <x:is>
          <x:t xml:space="preserve">Expansion 150</x:t>
        </x:is>
      </x:c>
      <x:c r="F311" s="5" t="n">
        <x:v>12</x:v>
      </x:c>
      <x:c r="G311" s="5" t="inlineStr">
        <x:is>
          <x:t xml:space="preserve">Analyze why my track sounds amateur and how to fix it.</x:t>
        </x:is>
      </x:c>
      <x:c r="H311" s="6" t="n">
        <x:v>41</x:v>
      </x:c>
      <x:c r="I311" s="6" t="n">
        <x:v>41</x:v>
      </x:c>
      <x:c r="J311" s="7" t="n">
        <x:v>56</x:v>
      </x:c>
      <x:c r="K311" s="7" t="n">
        <x:v>48</x:v>
      </x:c>
      <x:c r="L311" s="8" t="inlineStr">
        <x:is>
          <x:t xml:space="preserve">UNTESTED</x:t>
        </x:is>
      </x:c>
      <x:c r="M311" s="9" t="inlineStr">
        <x:is>
          <x:t xml:space="preserve">UNTESTED</x:t>
        </x:is>
      </x:c>
      <x:c r="N311" s="5" t="inlineStr">
        <x:is>
          <x:t xml:space="preserve">theory help; composition support; practice coaching; audio workflow planning</x:t>
        </x:is>
      </x:c>
      <x:c r="O311" s="5" t="inlineStr">
        <x:is>
          <x:t xml:space="preserve">Low</x:t>
        </x:is>
      </x:c>
      <x:c r="P311" s="5" t="inlineStr">
        <x:is>
          <x:t xml:space="preserve">Medium</x:t>
        </x:is>
      </x:c>
      <x:c r="Q311" s="5" t="inlineStr">
        <x:is>
          <x:t xml:space="preserve">Medium</x:t>
        </x:is>
      </x:c>
      <x:c r="R311" s="5" t="inlineStr">
        <x:is>
          <x:t xml:space="preserve">Low</x:t>
        </x:is>
      </x:c>
      <x:c r="S311" s="5" t="inlineStr">
        <x:is>
          <x:t xml:space="preserve">Medium</x:t>
        </x:is>
      </x:c>
      <x:c r="T311" s="5" t="inlineStr">
        <x:is>
          <x:t xml:space="preserve">ChatGPT/Claude planning + external music tools</x:t>
        </x:is>
      </x:c>
      <x:c r="U311" s="5" t="inlineStr">
        <x:is>
          <x:t xml:space="preserve">Medium</x:t>
        </x:is>
      </x:c>
      <x:c r="V311" s="10" t="n">
        <x:v>2</x:v>
      </x:c>
      <x:c r="W311" s="5" t="inlineStr">
        <x:is>
          <x:t xml:space="preserve">Creative coaching + workflow review</x:t>
        </x:is>
      </x:c>
      <x:c r="X311" s="5" t="inlineStr">
        <x:is>
          <x:t xml:space="preserve">practice plan / composition guide / arrangement brief</x:t>
        </x:is>
      </x:c>
      <x:c r="Y311" s="5" t="inlineStr">
        <x:is>
          <x:t xml:space="preserve">Output helps create or learn music in a concrete, musically coherent way.</x:t>
        </x:is>
      </x:c>
      <x:c r="Z311" s="5" t="inlineStr">
        <x:is>
          <x:t xml:space="preserve">Musically weak suggestions, generic advice, or no usable next step.</x:t>
        </x:is>
      </x:c>
      <x:c r="AA311" s="5" t="inlineStr">
        <x:is>
          <x:t xml:space="preserve">music mode / external tool routing / structured lesson outputs</x:t>
        </x:is>
      </x:c>
      <x:c r="AB311" s="5" t="inlineStr">
        <x:is>
          <x:t xml:space="preserve"/>
        </x:is>
      </x:c>
      <x:c r="AC311" s="5" t="inlineStr">
        <x:is>
          <x:t xml:space="preserve">Music-maker surveys show strong AI usage in parts of workflow, but full-song generation is less appealing; consumer trust remains mixed.</x:t>
        </x:is>
      </x:c>
      <x:c r="AD311" s="5" t="inlineStr">
        <x:is>
          <x:t xml:space="preserve">LANDR study 2025; PRS for Music 2026; Bain media survey 2025</x:t>
        </x:is>
      </x:c>
      <x:c r="AE311" s="11">
        <x:f>IF(O311="High",20,IF(O311="Medium",10,IF(O311="Low",5,0)))+IF(P311="High",20,IF(P311="Medium",10,IF(P311="Low",5,0)))+IF(Q311="High",20,IF(Q311="Medium",10,IF(Q311="Low",5,0)))+IF(R311="High",20,IF(R311="Medium",10,IF(R311="Low",5,0)))+IF(S311="High",20,IF(S311="Medium",10,IF(S311="Low",5,0)))</x:f>
        <x:v>40</x:v>
      </x:c>
      <x:c r="AF311" s="12">
        <x:f>ROUND(H311*0.30+J311*0.25+K311*0.20+(100-AE311)*0.10+(100-(V311*20))*0.15,0)</x:f>
        <x:v>51</x:v>
      </x:c>
      <x:c r="AG311" s="13" t="str">
        <x:f>IF(AF311&gt;=80,"Batch 1",IF(AF311&gt;=70,"Batch 2",IF(AF311&gt;=60,"Batch 3","Backlog")))</x:f>
        <x:v>Backlog</x:v>
      </x:c>
      <x:c r="AH311" t="inlineStr">
        <x:is>
          <x:t xml:space="preserve"/>
        </x:is>
      </x:c>
    </x:row>
    <x:row r="312">
      <x:c r="A312" s="5" t="inlineStr">
        <x:is>
          <x:t xml:space="preserve">GPO-SHO-24</x:t>
        </x:is>
      </x:c>
      <x:c r="B312" s="5" t="n">
        <x:v>308</x:v>
      </x:c>
      <x:c r="C312" s="5" t="inlineStr">
        <x:is>
          <x:t xml:space="preserve">Shopping &amp; Buying Advisor</x:t>
        </x:is>
      </x:c>
      <x:c r="D312" s="5" t="inlineStr">
        <x:is>
          <x:t xml:space="preserve">Buy</x:t>
        </x:is>
      </x:c>
      <x:c r="E312" s="5" t="inlineStr">
        <x:is>
          <x:t xml:space="preserve">Stretch 60</x:t>
        </x:is>
      </x:c>
      <x:c r="F312" s="5" t="n">
        <x:v>24</x:v>
      </x:c>
      <x:c r="G312" s="5" t="inlineStr">
        <x:is>
          <x:t xml:space="preserve">Turn a wishlist into a staged buying roadmap by urgency, price timing, and total cost.</x:t>
        </x:is>
      </x:c>
      <x:c r="H312" s="6" t="n">
        <x:v>38</x:v>
      </x:c>
      <x:c r="I312" s="6" t="n">
        <x:v>38</x:v>
      </x:c>
      <x:c r="J312" s="7" t="n">
        <x:v>60</x:v>
      </x:c>
      <x:c r="K312" s="7" t="n">
        <x:v>48</x:v>
      </x:c>
      <x:c r="L312" s="8" t="inlineStr">
        <x:is>
          <x:t xml:space="preserve">UNTESTED</x:t>
        </x:is>
      </x:c>
      <x:c r="M312" s="9" t="inlineStr">
        <x:is>
          <x:t xml:space="preserve">UNTESTED</x:t>
        </x:is>
      </x:c>
      <x:c r="N312" s="5" t="inlineStr">
        <x:is>
          <x:t xml:space="preserve">web/product research; comparison; price-value reasoning; shortlist generation</x:t>
        </x:is>
      </x:c>
      <x:c r="O312" s="5" t="inlineStr">
        <x:is>
          <x:t xml:space="preserve">High</x:t>
        </x:is>
      </x:c>
      <x:c r="P312" s="5" t="inlineStr">
        <x:is>
          <x:t xml:space="preserve">Medium</x:t>
        </x:is>
      </x:c>
      <x:c r="Q312" s="5" t="inlineStr">
        <x:is>
          <x:t xml:space="preserve">Medium</x:t>
        </x:is>
      </x:c>
      <x:c r="R312" s="5" t="inlineStr">
        <x:is>
          <x:t xml:space="preserve">Low</x:t>
        </x:is>
      </x:c>
      <x:c r="S312" s="5" t="inlineStr">
        <x:is>
          <x:t xml:space="preserve">Low</x:t>
        </x:is>
      </x:c>
      <x:c r="T312" s="5" t="inlineStr">
        <x:is>
          <x:t xml:space="preserve">ChatGPT with web</x:t>
        </x:is>
      </x:c>
      <x:c r="U312" s="5" t="inlineStr">
        <x:is>
          <x:t xml:space="preserve">Hard</x:t>
        </x:is>
      </x:c>
      <x:c r="V312" s="10" t="n">
        <x:v>3</x:v>
      </x:c>
      <x:c r="W312" s="5" t="inlineStr">
        <x:is>
          <x:t xml:space="preserve">Live shopping query + recommendation validation</x:t>
        </x:is>
      </x:c>
      <x:c r="X312" s="5" t="inlineStr">
        <x:is>
          <x:t xml:space="preserve">shortlist / recommendation / comparison / cart plan</x:t>
        </x:is>
      </x:c>
      <x:c r="Y312" s="5" t="inlineStr">
        <x:is>
          <x:t xml:space="preserve">Recommendation fits constraints and explains tradeoffs clearly.</x:t>
        </x:is>
      </x:c>
      <x:c r="Z312" s="5" t="inlineStr">
        <x:is>
          <x:t xml:space="preserve">Outdated products, poor fit, missed constraints, or shallow comparison.</x:t>
        </x:is>
      </x:c>
      <x:c r="AA312" s="5" t="inlineStr">
        <x:is>
          <x:t xml:space="preserve">web/product retrieval / comparison template / user preference memory</x:t>
        </x:is>
      </x:c>
      <x:c r="AB312" s="5" t="inlineStr">
        <x:is>
          <x:t xml:space="preserve"/>
        </x:is>
      </x:c>
      <x:c r="AC312" s="5" t="inlineStr">
        <x:is>
          <x:t xml:space="preserve">Deloitte top chatbot uses include product recommendations; Salesforce says 39% of consumers already use AI for product discovery and Capgemini found nearly 3 in 5 replacing search with GenAI for recommendations.</x:t>
        </x:is>
      </x:c>
      <x:c r="AD312" s="5" t="inlineStr">
        <x:is>
          <x:t xml:space="preserve">Deloitte Connected Consumer 2025; Salesforce Connected Shopper 2025; IAB 2025 shopping study</x:t>
        </x:is>
      </x:c>
      <x:c r="AE312" s="11">
        <x:f>IF(O312="High",20,IF(O312="Medium",10,IF(O312="Low",5,0)))+IF(P312="High",20,IF(P312="Medium",10,IF(P312="Low",5,0)))+IF(Q312="High",20,IF(Q312="Medium",10,IF(Q312="Low",5,0)))+IF(R312="High",20,IF(R312="Medium",10,IF(R312="Low",5,0)))+IF(S312="High",20,IF(S312="Medium",10,IF(S312="Low",5,0)))</x:f>
        <x:v>50</x:v>
      </x:c>
      <x:c r="AF312" s="12">
        <x:f>ROUND(H312*0.30+J312*0.25+K312*0.20+(100-AE312)*0.10+(100-(V312*20))*0.15,0)</x:f>
        <x:v>47</x:v>
      </x:c>
      <x:c r="AG312" s="13" t="str">
        <x:f>IF(AF312&gt;=80,"Batch 1",IF(AF312&gt;=70,"Batch 2",IF(AF312&gt;=60,"Batch 3","Backlog")))</x:f>
        <x:v>Backlog</x:v>
      </x:c>
      <x:c r="AH312" t="inlineStr">
        <x:is>
          <x:t xml:space="preserve"/>
        </x:is>
      </x:c>
    </x:row>
    <x:row r="313">
      <x:c r="A313" s="5" t="inlineStr">
        <x:is>
          <x:t xml:space="preserve">GPO-FIL-11</x:t>
        </x:is>
      </x:c>
      <x:c r="B313" s="5" t="n">
        <x:v>309</x:v>
      </x:c>
      <x:c r="C313" s="5" t="inlineStr">
        <x:is>
          <x:t xml:space="preserve">Filmmaking &amp; Video Production</x:t>
        </x:is>
      </x:c>
      <x:c r="D313" s="5" t="inlineStr">
        <x:is>
          <x:t xml:space="preserve">Create</x:t>
        </x:is>
      </x:c>
      <x:c r="E313" s="5" t="inlineStr">
        <x:is>
          <x:t xml:space="preserve">Expansion 150</x:t>
        </x:is>
      </x:c>
      <x:c r="F313" s="5" t="n">
        <x:v>11</x:v>
      </x:c>
      <x:c r="G313" s="5" t="inlineStr">
        <x:is>
          <x:t xml:space="preserve">Solve consistency problems across AI-generated shots in the same project.</x:t>
        </x:is>
      </x:c>
      <x:c r="H313" s="6" t="n">
        <x:v>45</x:v>
      </x:c>
      <x:c r="I313" s="6" t="n">
        <x:v>45</x:v>
      </x:c>
      <x:c r="J313" s="7" t="n">
        <x:v>50</x:v>
      </x:c>
      <x:c r="K313" s="7" t="n">
        <x:v>47</x:v>
      </x:c>
      <x:c r="L313" s="8" t="inlineStr">
        <x:is>
          <x:t xml:space="preserve">UNTESTED</x:t>
        </x:is>
      </x:c>
      <x:c r="M313" s="9" t="inlineStr">
        <x:is>
          <x:t xml:space="preserve">UNTESTED</x:t>
        </x:is>
      </x:c>
      <x:c r="N313" s="5" t="inlineStr">
        <x:is>
          <x:t xml:space="preserve">shot planning; multimodal coordination; tool routing; production workflow</x:t>
        </x:is>
      </x:c>
      <x:c r="O313" s="5" t="inlineStr">
        <x:is>
          <x:t xml:space="preserve">Low</x:t>
        </x:is>
      </x:c>
      <x:c r="P313" s="5" t="inlineStr">
        <x:is>
          <x:t xml:space="preserve">Medium</x:t>
        </x:is>
      </x:c>
      <x:c r="Q313" s="5" t="inlineStr">
        <x:is>
          <x:t xml:space="preserve">High</x:t>
        </x:is>
      </x:c>
      <x:c r="R313" s="5" t="inlineStr">
        <x:is>
          <x:t xml:space="preserve">High</x:t>
        </x:is>
      </x:c>
      <x:c r="S313" s="5" t="inlineStr">
        <x:is>
          <x:t xml:space="preserve">Medium</x:t>
        </x:is>
      </x:c>
      <x:c r="T313" s="5" t="inlineStr">
        <x:is>
          <x:t xml:space="preserve">Claude planning + external video/image tools</x:t>
        </x:is>
      </x:c>
      <x:c r="U313" s="5" t="inlineStr">
        <x:is>
          <x:t xml:space="preserve">Hard</x:t>
        </x:is>
      </x:c>
      <x:c r="V313" s="10" t="n">
        <x:v>3</x:v>
      </x:c>
      <x:c r="W313" s="5" t="inlineStr">
        <x:is>
          <x:t xml:space="preserve">Workflow plan + asset chain review</x:t>
        </x:is>
      </x:c>
      <x:c r="X313" s="5" t="inlineStr">
        <x:is>
          <x:t xml:space="preserve">shot list / storyboard / production workflow / tool stack recommendation</x:t>
        </x:is>
      </x:c>
      <x:c r="Y313" s="5" t="inlineStr">
        <x:is>
          <x:t xml:space="preserve">Workflow is executable with current tools and preserves consistency across assets.</x:t>
        </x:is>
      </x:c>
      <x:c r="Z313" s="5" t="inlineStr">
        <x:is>
          <x:t xml:space="preserve">Ignores tool limits, no consistency strategy, or vague production logic.</x:t>
        </x:is>
      </x:c>
      <x:c r="AA313" s="5" t="inlineStr">
        <x:is>
          <x:t xml:space="preserve">multimodal orchestration / provider routing / asset schema</x:t>
        </x:is>
      </x:c>
      <x:c r="AB313" s="5" t="inlineStr">
        <x:is>
          <x:t xml:space="preserve"/>
        </x:is>
      </x:c>
      <x:c r="AC313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13" s="5" t="inlineStr">
        <x:is>
          <x:t xml:space="preserve">Wondercraft/Digiday creator workflow survey 2025; Artificial Analysis generative media survey 2025; Reuters/Canal+ 2026</x:t>
        </x:is>
      </x:c>
      <x:c r="AE313" s="11">
        <x:f>IF(O313="High",20,IF(O313="Medium",10,IF(O313="Low",5,0)))+IF(P313="High",20,IF(P313="Medium",10,IF(P313="Low",5,0)))+IF(Q313="High",20,IF(Q313="Medium",10,IF(Q313="Low",5,0)))+IF(R313="High",20,IF(R313="Medium",10,IF(R313="Low",5,0)))+IF(S313="High",20,IF(S313="Medium",10,IF(S313="Low",5,0)))</x:f>
        <x:v>65</x:v>
      </x:c>
      <x:c r="AF313" s="12">
        <x:f>ROUND(H313*0.30+J313*0.25+K313*0.20+(100-AE313)*0.10+(100-(V313*20))*0.15,0)</x:f>
        <x:v>45</x:v>
      </x:c>
      <x:c r="AG313" s="13" t="str">
        <x:f>IF(AF313&gt;=80,"Batch 1",IF(AF313&gt;=70,"Batch 2",IF(AF313&gt;=60,"Batch 3","Backlog")))</x:f>
        <x:v>Backlog</x:v>
      </x:c>
      <x:c r="AH313" t="inlineStr">
        <x:is>
          <x:t xml:space="preserve"/>
        </x:is>
      </x:c>
    </x:row>
    <x:row r="314">
      <x:c r="A314" s="5" t="inlineStr">
        <x:is>
          <x:t xml:space="preserve">GPO-SCR-20</x:t>
        </x:is>
      </x:c>
      <x:c r="B314" s="5" t="n">
        <x:v>310</x:v>
      </x:c>
      <x:c r="C314" s="5" t="inlineStr">
        <x:is>
          <x:t xml:space="preserve">Screenwriting &amp; Story Development</x:t>
        </x:is>
      </x:c>
      <x:c r="D314" s="5" t="inlineStr">
        <x:is>
          <x:t xml:space="preserve">Create</x:t>
        </x:is>
      </x:c>
      <x:c r="E314" s="5" t="inlineStr">
        <x:is>
          <x:t xml:space="preserve">Expansion 150</x:t>
        </x:is>
      </x:c>
      <x:c r="F314" s="5" t="n">
        <x:v>20</x:v>
      </x:c>
      <x:c r="G314" s="5" t="inlineStr">
        <x:is>
          <x:t xml:space="preserve">Build a repeatable workflow for taking me from idea to polished draft.</x:t>
        </x:is>
      </x:c>
      <x:c r="H314" s="6" t="n">
        <x:v>36</x:v>
      </x:c>
      <x:c r="I314" s="6" t="n">
        <x:v>36</x:v>
      </x:c>
      <x:c r="J314" s="7" t="n">
        <x:v>62</x:v>
      </x:c>
      <x:c r="K314" s="7" t="n">
        <x:v>48</x:v>
      </x:c>
      <x:c r="L314" s="8" t="inlineStr">
        <x:is>
          <x:t xml:space="preserve">UNTESTED</x:t>
        </x:is>
      </x:c>
      <x:c r="M314" s="9" t="inlineStr">
        <x:is>
          <x:t xml:space="preserve">UNTESTED</x:t>
        </x:is>
      </x:c>
      <x:c r="N314" s="5" t="inlineStr">
        <x:is>
          <x:t xml:space="preserve">creative ideation; story structure; tone control; character design</x:t>
        </x:is>
      </x:c>
      <x:c r="O314" s="5" t="inlineStr">
        <x:is>
          <x:t xml:space="preserve">Low</x:t>
        </x:is>
      </x:c>
      <x:c r="P314" s="5" t="inlineStr">
        <x:is>
          <x:t xml:space="preserve">Medium</x:t>
        </x:is>
      </x:c>
      <x:c r="Q314" s="5" t="inlineStr">
        <x:is>
          <x:t xml:space="preserve">Low</x:t>
        </x:is>
      </x:c>
      <x:c r="R314" s="5" t="inlineStr">
        <x:is>
          <x:t xml:space="preserve">Low</x:t>
        </x:is>
      </x:c>
      <x:c r="S314" s="5" t="inlineStr">
        <x:is>
          <x:t xml:space="preserve">Low</x:t>
        </x:is>
      </x:c>
      <x:c r="T314" s="5" t="inlineStr">
        <x:is>
          <x:t xml:space="preserve">ChatGPT or Claude creative mode</x:t>
        </x:is>
      </x:c>
      <x:c r="U314" s="5" t="inlineStr">
        <x:is>
          <x:t xml:space="preserve">Medium</x:t>
        </x:is>
      </x:c>
      <x:c r="V314" s="10" t="n">
        <x:v>2</x:v>
      </x:c>
      <x:c r="W314" s="5" t="inlineStr">
        <x:is>
          <x:t xml:space="preserve">Creative prompt run + human taste review</x:t>
        </x:is>
      </x:c>
      <x:c r="X314" s="5" t="inlineStr">
        <x:is>
          <x:t xml:space="preserve">logline / outline / scene rewrite / treatment</x:t>
        </x:is>
      </x:c>
      <x:c r="Y314" s="5" t="inlineStr">
        <x:is>
          <x:t xml:space="preserve">Story work feels coherent, original, and emotionally alive.</x:t>
        </x:is>
      </x:c>
      <x:c r="Z314" s="5" t="inlineStr">
        <x:is>
          <x:t xml:space="preserve">Cliche ideas, flat dialogue, weak stakes, or no tonal discipline.</x:t>
        </x:is>
      </x:c>
      <x:c r="AA314" s="5" t="inlineStr">
        <x:is>
          <x:t xml:space="preserve">creative mode / style packs / development workflow</x:t>
        </x:is>
      </x:c>
      <x:c r="AB314" s="5" t="inlineStr">
        <x:is>
          <x:t xml:space="preserve"/>
        </x:is>
      </x:c>
      <x:c r="AC314" s="5" t="inlineStr">
        <x:is>
          <x:t xml:space="preserve">OpenAI practical guidance includes creative ideation; creator surveys show broad use of generative AI in creative workflows.</x:t>
        </x:is>
      </x:c>
      <x:c r="AD314" s="5" t="inlineStr">
        <x:is>
          <x:t xml:space="preserve">OpenAI How People Use ChatGPT paper; Adobe creators survey 2025; Wondercraft/Digiday creator workflow survey 2025</x:t>
        </x:is>
      </x:c>
      <x:c r="AE314" s="11">
        <x:f>IF(O314="High",20,IF(O314="Medium",10,IF(O314="Low",5,0)))+IF(P314="High",20,IF(P314="Medium",10,IF(P314="Low",5,0)))+IF(Q314="High",20,IF(Q314="Medium",10,IF(Q314="Low",5,0)))+IF(R314="High",20,IF(R314="Medium",10,IF(R314="Low",5,0)))+IF(S314="High",20,IF(S314="Medium",10,IF(S314="Low",5,0)))</x:f>
        <x:v>30</x:v>
      </x:c>
      <x:c r="AF314" s="12">
        <x:f>ROUND(H314*0.30+J314*0.25+K314*0.20+(100-AE314)*0.10+(100-(V314*20))*0.15,0)</x:f>
        <x:v>52</x:v>
      </x:c>
      <x:c r="AG314" s="13" t="str">
        <x:f>IF(AF314&gt;=80,"Batch 1",IF(AF314&gt;=70,"Batch 2",IF(AF314&gt;=60,"Batch 3","Backlog")))</x:f>
        <x:v>Backlog</x:v>
      </x:c>
      <x:c r="AH314" t="inlineStr">
        <x:is>
          <x:t xml:space="preserve"/>
        </x:is>
      </x:c>
    </x:row>
    <x:row r="315">
      <x:c r="A315" s="5" t="inlineStr">
        <x:is>
          <x:t xml:space="preserve">GPO-HOM-15</x:t>
        </x:is>
      </x:c>
      <x:c r="B315" s="5" t="n">
        <x:v>311</x:v>
      </x:c>
      <x:c r="C315" s="5" t="inlineStr">
        <x:is>
          <x:t xml:space="preserve">Home &amp; Lifestyle Design</x:t>
        </x:is>
      </x:c>
      <x:c r="D315" s="5" t="inlineStr">
        <x:is>
          <x:t xml:space="preserve">Design</x:t>
        </x:is>
      </x:c>
      <x:c r="E315" s="5" t="inlineStr">
        <x:is>
          <x:t xml:space="preserve">Expansion 150</x:t>
        </x:is>
      </x:c>
      <x:c r="F315" s="5" t="n">
        <x:v>15</x:v>
      </x:c>
      <x:c r="G315" s="5" t="inlineStr">
        <x:is>
          <x:t xml:space="preserve">Help me design an outdoor/balcony/garden setup that is actually usable.</x:t>
        </x:is>
      </x:c>
      <x:c r="H315" s="6" t="n">
        <x:v>35</x:v>
      </x:c>
      <x:c r="I315" s="6" t="n">
        <x:v>35</x:v>
      </x:c>
      <x:c r="J315" s="7" t="n">
        <x:v>63</x:v>
      </x:c>
      <x:c r="K315" s="7" t="n">
        <x:v>48</x:v>
      </x:c>
      <x:c r="L315" s="8" t="inlineStr">
        <x:is>
          <x:t xml:space="preserve">UNTESTED</x:t>
        </x:is>
      </x:c>
      <x:c r="M315" s="9" t="inlineStr">
        <x:is>
          <x:t xml:space="preserve">UNTESTED</x:t>
        </x:is>
      </x:c>
      <x:c r="N315" s="5" t="inlineStr">
        <x:is>
          <x:t xml:space="preserve">space planning; product curation; aesthetic reasoning; phased project planning</x:t>
        </x:is>
      </x:c>
      <x:c r="O315" s="5" t="inlineStr">
        <x:is>
          <x:t xml:space="preserve">Medium</x:t>
        </x:is>
      </x:c>
      <x:c r="P315" s="5" t="inlineStr">
        <x:is>
          <x:t xml:space="preserve">High</x:t>
        </x:is>
      </x:c>
      <x:c r="Q315" s="5" t="inlineStr">
        <x:is>
          <x:t xml:space="preserve">Medium</x:t>
        </x:is>
      </x:c>
      <x:c r="R315" s="5" t="inlineStr">
        <x:is>
          <x:t xml:space="preserve">Low</x:t>
        </x:is>
      </x:c>
      <x:c r="S315" s="5" t="inlineStr">
        <x:is>
          <x:t xml:space="preserve">Low</x:t>
        </x:is>
      </x:c>
      <x:c r="T315" s="5" t="inlineStr">
        <x:is>
          <x:t xml:space="preserve">ChatGPT with web; image/design tools later</x:t>
        </x:is>
      </x:c>
      <x:c r="U315" s="5" t="inlineStr">
        <x:is>
          <x:t xml:space="preserve">Medium</x:t>
        </x:is>
      </x:c>
      <x:c r="V315" s="10" t="n">
        <x:v>2</x:v>
      </x:c>
      <x:c r="W315" s="5" t="inlineStr">
        <x:is>
          <x:t xml:space="preserve">Design brief generation + feasibility review</x:t>
        </x:is>
      </x:c>
      <x:c r="X315" s="5" t="inlineStr">
        <x:is>
          <x:t xml:space="preserve">layout / shopping plan / phased upgrade roadmap</x:t>
        </x:is>
      </x:c>
      <x:c r="Y315" s="5" t="inlineStr">
        <x:is>
          <x:t xml:space="preserve">Design plan feels cohesive, practical, and matched to lifestyle goals.</x:t>
        </x:is>
      </x:c>
      <x:c r="Z315" s="5" t="inlineStr">
        <x:is>
          <x:t xml:space="preserve">Pretty but impractical suggestions, no budget logic, or weak taste alignment.</x:t>
        </x:is>
      </x:c>
      <x:c r="AA315" s="5" t="inlineStr">
        <x:is>
          <x:t xml:space="preserve">design preference memory / shopping integration / image workflow</x:t>
        </x:is>
      </x:c>
      <x:c r="AB315" s="5" t="inlineStr">
        <x:is>
          <x:t xml:space="preserve"/>
        </x:is>
      </x:c>
      <x:c r="AC315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15" s="5" t="inlineStr">
        <x:is>
          <x:t xml:space="preserve">ThinkLab 2025 design benchmark; Houzz 2025 AI in construction &amp; design; Canadian Contractor/Mattoboard survey 2025</x:t>
        </x:is>
      </x:c>
      <x:c r="AE315" s="11">
        <x:f>IF(O315="High",20,IF(O315="Medium",10,IF(O315="Low",5,0)))+IF(P315="High",20,IF(P315="Medium",10,IF(P315="Low",5,0)))+IF(Q315="High",20,IF(Q315="Medium",10,IF(Q315="Low",5,0)))+IF(R315="High",20,IF(R315="Medium",10,IF(R315="Low",5,0)))+IF(S315="High",20,IF(S315="Medium",10,IF(S315="Low",5,0)))</x:f>
        <x:v>50</x:v>
      </x:c>
      <x:c r="AF315" s="12">
        <x:f>ROUND(H315*0.30+J315*0.25+K315*0.20+(100-AE315)*0.10+(100-(V315*20))*0.15,0)</x:f>
        <x:v>50</x:v>
      </x:c>
      <x:c r="AG315" s="13" t="str">
        <x:f>IF(AF315&gt;=80,"Batch 1",IF(AF315&gt;=70,"Batch 2",IF(AF315&gt;=60,"Batch 3","Backlog")))</x:f>
        <x:v>Backlog</x:v>
      </x:c>
      <x:c r="AH315" t="inlineStr">
        <x:is>
          <x:t xml:space="preserve"/>
        </x:is>
      </x:c>
    </x:row>
    <x:row r="316">
      <x:c r="A316" s="5" t="inlineStr">
        <x:is>
          <x:t xml:space="preserve">GPO-CAR-24</x:t>
        </x:is>
      </x:c>
      <x:c r="B316" s="5" t="n">
        <x:v>312</x:v>
      </x:c>
      <x:c r="C316" s="5" t="inlineStr">
        <x:is>
          <x:t xml:space="preserve">Career &amp; Job Search</x:t>
        </x:is>
      </x:c>
      <x:c r="D316" s="5" t="inlineStr">
        <x:is>
          <x:t xml:space="preserve">Advance</x:t>
        </x:is>
      </x:c>
      <x:c r="E316" s="5" t="inlineStr">
        <x:is>
          <x:t xml:space="preserve">Stretch 60</x:t>
        </x:is>
      </x:c>
      <x:c r="F316" s="5" t="n">
        <x:v>24</x:v>
      </x:c>
      <x:c r="G316" s="5" t="inlineStr">
        <x:is>
          <x:t xml:space="preserve">Translate my actual work into recruiter-friendly, manager-friendly, and founder-friendly narratives.</x:t>
        </x:is>
      </x:c>
      <x:c r="H316" s="6" t="n">
        <x:v>38</x:v>
      </x:c>
      <x:c r="I316" s="6" t="n">
        <x:v>38</x:v>
      </x:c>
      <x:c r="J316" s="7" t="n">
        <x:v>59</x:v>
      </x:c>
      <x:c r="K316" s="7" t="n">
        <x:v>47</x:v>
      </x:c>
      <x:c r="L316" s="8" t="inlineStr">
        <x:is>
          <x:t xml:space="preserve">UNTESTED</x:t>
        </x:is>
      </x:c>
      <x:c r="M316" s="9" t="inlineStr">
        <x:is>
          <x:t xml:space="preserve">UNTESTED</x:t>
        </x:is>
      </x:c>
      <x:c r="N316" s="5" t="inlineStr">
        <x:is>
          <x:t xml:space="preserve">resume tailoring; interview prep; role mapping; narrative building</x:t>
        </x:is>
      </x:c>
      <x:c r="O316" s="5" t="inlineStr">
        <x:is>
          <x:t xml:space="preserve">Medium</x:t>
        </x:is>
      </x:c>
      <x:c r="P316" s="5" t="inlineStr">
        <x:is>
          <x:t xml:space="preserve">High</x:t>
        </x:is>
      </x:c>
      <x:c r="Q316" s="5" t="inlineStr">
        <x:is>
          <x:t xml:space="preserve">Low</x:t>
        </x:is>
      </x:c>
      <x:c r="R316" s="5" t="inlineStr">
        <x:is>
          <x:t xml:space="preserve">Low</x:t>
        </x:is>
      </x:c>
      <x:c r="S316" s="5" t="inlineStr">
        <x:is>
          <x:t xml:space="preserve">Low</x:t>
        </x:is>
      </x:c>
      <x:c r="T316" s="5" t="inlineStr">
        <x:is>
          <x:t xml:space="preserve">ChatGPT primary</x:t>
        </x:is>
      </x:c>
      <x:c r="U316" s="5" t="inlineStr">
        <x:is>
          <x:t xml:space="preserve">Hard</x:t>
        </x:is>
      </x:c>
      <x:c r="V316" s="10" t="n">
        <x:v>3</x:v>
      </x:c>
      <x:c r="W316" s="5" t="inlineStr">
        <x:is>
          <x:t xml:space="preserve">Artifact review + mock interview + targeting review</x:t>
        </x:is>
      </x:c>
      <x:c r="X316" s="5" t="inlineStr">
        <x:is>
          <x:t xml:space="preserve">resume / prep plan / outreach / strategy memo</x:t>
        </x:is>
      </x:c>
      <x:c r="Y316" s="5" t="inlineStr">
        <x:is>
          <x:t xml:space="preserve">Career outputs are specific, credible, and materially improve positioning.</x:t>
        </x:is>
      </x:c>
      <x:c r="Z316" s="5" t="inlineStr">
        <x:is>
          <x:t xml:space="preserve">Generic resume language, fake-sounding stories, or weak role fit.</x:t>
        </x:is>
      </x:c>
      <x:c r="AA316" s="5" t="inlineStr">
        <x:is>
          <x:t xml:space="preserve">career templates / memory / ATS-aware output logic</x:t>
        </x:is>
      </x:c>
      <x:c r="AB316" s="5" t="inlineStr">
        <x:is>
          <x:t xml:space="preserve"/>
        </x:is>
      </x:c>
      <x:c r="AC316" s="5" t="inlineStr">
        <x:is>
          <x:t xml:space="preserve">Insight Global 2025: job seekers use AI for company research (21%), interview prep (31%), and drafting application materials (40%); career use remains meaningful though trust/ethics concerns persist.</x:t>
        </x:is>
      </x:c>
      <x:c r="AD316" s="5" t="inlineStr">
        <x:is>
          <x:t xml:space="preserve">Insight Global AI in Hiring Report 2025; NACE student survey 2025/2026</x:t>
        </x:is>
      </x:c>
      <x:c r="AE316" s="11">
        <x:f>IF(O316="High",20,IF(O316="Medium",10,IF(O316="Low",5,0)))+IF(P316="High",20,IF(P316="Medium",10,IF(P316="Low",5,0)))+IF(Q316="High",20,IF(Q316="Medium",10,IF(Q316="Low",5,0)))+IF(R316="High",20,IF(R316="Medium",10,IF(R316="Low",5,0)))+IF(S316="High",20,IF(S316="Medium",10,IF(S316="Low",5,0)))</x:f>
        <x:v>45</x:v>
      </x:c>
      <x:c r="AF316" s="12">
        <x:f>ROUND(H316*0.30+J316*0.25+K316*0.20+(100-AE316)*0.10+(100-(V316*20))*0.15,0)</x:f>
        <x:v>47</x:v>
      </x:c>
      <x:c r="AG316" s="13" t="str">
        <x:f>IF(AF316&gt;=80,"Batch 1",IF(AF316&gt;=70,"Batch 2",IF(AF316&gt;=60,"Batch 3","Backlog")))</x:f>
        <x:v>Backlog</x:v>
      </x:c>
      <x:c r="AH316" t="inlineStr">
        <x:is>
          <x:t xml:space="preserve"/>
        </x:is>
      </x:c>
    </x:row>
    <x:row r="317">
      <x:c r="A317" s="5" t="inlineStr">
        <x:is>
          <x:t xml:space="preserve">GPO-PER-22</x:t>
        </x:is>
      </x:c>
      <x:c r="B317" s="5" t="n">
        <x:v>313</x:v>
      </x:c>
      <x:c r="C317" s="5" t="inlineStr">
        <x:is>
          <x:t xml:space="preserve">Personal Finance &amp; Investing</x:t>
        </x:is>
      </x:c>
      <x:c r="D317" s="5" t="inlineStr">
        <x:is>
          <x:t xml:space="preserve">Money</x:t>
        </x:is>
      </x:c>
      <x:c r="E317" s="5" t="inlineStr">
        <x:is>
          <x:t xml:space="preserve">Stretch 60</x:t>
        </x:is>
      </x:c>
      <x:c r="F317" s="5" t="n">
        <x:v>22</x:v>
      </x:c>
      <x:c r="G317" s="5" t="inlineStr">
        <x:is>
          <x:t xml:space="preserve">Stress-test a plan across recession, job loss, relocation, and family-expansion scenarios.</x:t>
        </x:is>
      </x:c>
      <x:c r="H317" s="6" t="n">
        <x:v>38</x:v>
      </x:c>
      <x:c r="I317" s="6" t="n">
        <x:v>38</x:v>
      </x:c>
      <x:c r="J317" s="7" t="n">
        <x:v>59</x:v>
      </x:c>
      <x:c r="K317" s="7" t="n">
        <x:v>47</x:v>
      </x:c>
      <x:c r="L317" s="8" t="inlineStr">
        <x:is>
          <x:t xml:space="preserve">UNTESTED</x:t>
        </x:is>
      </x:c>
      <x:c r="M317" s="9" t="inlineStr">
        <x:is>
          <x:t xml:space="preserve">UNTESTED</x:t>
        </x:is>
      </x:c>
      <x:c r="N317" s="5" t="inlineStr">
        <x:is>
          <x:t xml:space="preserve">scenario modeling; budgeting; portfolio reasoning; decision framing</x:t>
        </x:is>
      </x:c>
      <x:c r="O317" s="5" t="inlineStr">
        <x:is>
          <x:t xml:space="preserve">Medium</x:t>
        </x:is>
      </x:c>
      <x:c r="P317" s="5" t="inlineStr">
        <x:is>
          <x:t xml:space="preserve">High</x:t>
        </x:is>
      </x:c>
      <x:c r="Q317" s="5" t="inlineStr">
        <x:is>
          <x:t xml:space="preserve">Medium</x:t>
        </x:is>
      </x:c>
      <x:c r="R317" s="5" t="inlineStr">
        <x:is>
          <x:t xml:space="preserve">Low</x:t>
        </x:is>
      </x:c>
      <x:c r="S317" s="5" t="inlineStr">
        <x:is>
          <x:t xml:space="preserve">Medium</x:t>
        </x:is>
      </x:c>
      <x:c r="T317" s="5" t="inlineStr">
        <x:is>
          <x:t xml:space="preserve">ChatGPT or Claude with spreadsheet support</x:t>
        </x:is>
      </x:c>
      <x:c r="U317" s="5" t="inlineStr">
        <x:is>
          <x:t xml:space="preserve">Hard</x:t>
        </x:is>
      </x:c>
      <x:c r="V317" s="10" t="n">
        <x:v>3</x:v>
      </x:c>
      <x:c r="W317" s="5" t="inlineStr">
        <x:is>
          <x:t xml:space="preserve">Scenario modeling + coherence review</x:t>
        </x:is>
      </x:c>
      <x:c r="X317" s="5" t="inlineStr">
        <x:is>
          <x:t xml:space="preserve">budget / model / plan / recommendation</x:t>
        </x:is>
      </x:c>
      <x:c r="Y317" s="5" t="inlineStr">
        <x:is>
          <x:t xml:space="preserve">Advice is numerically coherent, practical, and transparent about assumptions.</x:t>
        </x:is>
      </x:c>
      <x:c r="Z317" s="5" t="inlineStr">
        <x:is>
          <x:t xml:space="preserve">Bad math, missing assumptions, or overconfident investment guidance.</x:t>
        </x:is>
      </x:c>
      <x:c r="AA317" s="5" t="inlineStr">
        <x:is>
          <x:t xml:space="preserve">financial calculator / assumption schema / spreadsheet outputs</x:t>
        </x:is>
      </x:c>
      <x:c r="AB317" s="5" t="inlineStr">
        <x:is>
          <x:t xml:space="preserve"/>
        </x:is>
      </x:c>
      <x:c r="AC317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317" s="5" t="inlineStr">
        <x:is>
          <x:t xml:space="preserve">FNBO Financial Wellbeing Study 2025; NerdWallet/Harris Poll 2026; PlanAdviser 2026</x:t>
        </x:is>
      </x:c>
      <x:c r="AE317" s="11">
        <x:f>IF(O317="High",20,IF(O317="Medium",10,IF(O317="Low",5,0)))+IF(P317="High",20,IF(P317="Medium",10,IF(P317="Low",5,0)))+IF(Q317="High",20,IF(Q317="Medium",10,IF(Q317="Low",5,0)))+IF(R317="High",20,IF(R317="Medium",10,IF(R317="Low",5,0)))+IF(S317="High",20,IF(S317="Medium",10,IF(S317="Low",5,0)))</x:f>
        <x:v>55</x:v>
      </x:c>
      <x:c r="AF317" s="12">
        <x:f>ROUND(H317*0.30+J317*0.25+K317*0.20+(100-AE317)*0.10+(100-(V317*20))*0.15,0)</x:f>
        <x:v>46</x:v>
      </x:c>
      <x:c r="AG317" s="13" t="str">
        <x:f>IF(AF317&gt;=80,"Batch 1",IF(AF317&gt;=70,"Batch 2",IF(AF317&gt;=60,"Batch 3","Backlog")))</x:f>
        <x:v>Backlog</x:v>
      </x:c>
      <x:c r="AH317" t="inlineStr">
        <x:is>
          <x:t xml:space="preserve"/>
        </x:is>
      </x:c>
    </x:row>
    <x:row r="318">
      <x:c r="A318" s="5" t="inlineStr">
        <x:is>
          <x:t xml:space="preserve">GPO-HEA-20</x:t>
        </x:is>
      </x:c>
      <x:c r="B318" s="5" t="n">
        <x:v>314</x:v>
      </x:c>
      <x:c r="C318" s="5" t="inlineStr">
        <x:is>
          <x:t xml:space="preserve">Health &amp; Wellness Coach</x:t>
        </x:is>
      </x:c>
      <x:c r="D318" s="5" t="inlineStr">
        <x:is>
          <x:t xml:space="preserve">Care</x:t>
        </x:is>
      </x:c>
      <x:c r="E318" s="5" t="inlineStr">
        <x:is>
          <x:t xml:space="preserve">Expansion 150</x:t>
        </x:is>
      </x:c>
      <x:c r="F318" s="5" t="n">
        <x:v>20</x:v>
      </x:c>
      <x:c r="G318" s="5" t="inlineStr">
        <x:is>
          <x:t xml:space="preserve">Create a simple health dashboard I can update weekly to stay accountable.</x:t>
        </x:is>
      </x:c>
      <x:c r="H318" s="6" t="n">
        <x:v>46</x:v>
      </x:c>
      <x:c r="I318" s="6" t="n">
        <x:v>46</x:v>
      </x:c>
      <x:c r="J318" s="7" t="n">
        <x:v>47</x:v>
      </x:c>
      <x:c r="K318" s="7" t="n">
        <x:v>46</x:v>
      </x:c>
      <x:c r="L318" s="8" t="inlineStr">
        <x:is>
          <x:t xml:space="preserve">UNTESTED</x:t>
        </x:is>
      </x:c>
      <x:c r="M318" s="9" t="inlineStr">
        <x:is>
          <x:t xml:space="preserve">UNTESTED</x:t>
        </x:is>
      </x:c>
      <x:c r="N318" s="5" t="inlineStr">
        <x:is>
          <x:t xml:space="preserve">health explanation; risk framing; behavior coaching; careful disclaimer handling</x:t>
        </x:is>
      </x:c>
      <x:c r="O318" s="5" t="inlineStr">
        <x:is>
          <x:t xml:space="preserve">Medium</x:t>
        </x:is>
      </x:c>
      <x:c r="P318" s="5" t="inlineStr">
        <x:is>
          <x:t xml:space="preserve">High</x:t>
        </x:is>
      </x:c>
      <x:c r="Q318" s="5" t="inlineStr">
        <x:is>
          <x:t xml:space="preserve">Low</x:t>
        </x:is>
      </x:c>
      <x:c r="R318" s="5" t="inlineStr">
        <x:is>
          <x:t xml:space="preserve">Low</x:t>
        </x:is>
      </x:c>
      <x:c r="S318" s="5" t="inlineStr">
        <x:is>
          <x:t xml:space="preserve">Medium</x:t>
        </x:is>
      </x:c>
      <x:c r="T318" s="5" t="inlineStr">
        <x:is>
          <x:t xml:space="preserve">ChatGPT primary with careful guardrails</x:t>
        </x:is>
      </x:c>
      <x:c r="U318" s="5" t="inlineStr">
        <x:is>
          <x:t xml:space="preserve">Medium</x:t>
        </x:is>
      </x:c>
      <x:c r="V318" s="10" t="n">
        <x:v>2</x:v>
      </x:c>
      <x:c r="W318" s="5" t="inlineStr">
        <x:is>
          <x:t xml:space="preserve">Scenario prompts + safety review + usefulness review</x:t>
        </x:is>
      </x:c>
      <x:c r="X318" s="5" t="inlineStr">
        <x:is>
          <x:t xml:space="preserve">plan / explanation / checklist / prep brief</x:t>
        </x:is>
      </x:c>
      <x:c r="Y318" s="5" t="inlineStr">
        <x:is>
          <x:t xml:space="preserve">Useful, cautious, practical guidance that stays within safe boundaries.</x:t>
        </x:is>
      </x:c>
      <x:c r="Z318" s="5" t="inlineStr">
        <x:is>
          <x:t xml:space="preserve">Overconfident medical claims, weak escalation guidance, or unsafe advice.</x:t>
        </x:is>
      </x:c>
      <x:c r="AA318" s="5" t="inlineStr">
        <x:is>
          <x:t xml:space="preserve">safety layer / health mode / evidence grounding</x:t>
        </x:is>
      </x:c>
      <x:c r="AB318" s="5" t="inlineStr">
        <x:is>
          <x:t xml:space="preserve"/>
        </x:is>
      </x:c>
      <x:c r="AC318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18" s="5" t="inlineStr">
        <x:is>
          <x:t xml:space="preserve">OpenAI Introducing GPT-5; APPC 2025 health survey; Deloitte Connected Consumer 2025</x:t>
        </x:is>
      </x:c>
      <x:c r="AE318" s="11">
        <x:f>IF(O318="High",20,IF(O318="Medium",10,IF(O318="Low",5,0)))+IF(P318="High",20,IF(P318="Medium",10,IF(P318="Low",5,0)))+IF(Q318="High",20,IF(Q318="Medium",10,IF(Q318="Low",5,0)))+IF(R318="High",20,IF(R318="Medium",10,IF(R318="Low",5,0)))+IF(S318="High",20,IF(S318="Medium",10,IF(S318="Low",5,0)))</x:f>
        <x:v>50</x:v>
      </x:c>
      <x:c r="AF318" s="12">
        <x:f>ROUND(H318*0.30+J318*0.25+K318*0.20+(100-AE318)*0.10+(100-(V318*20))*0.15,0)</x:f>
        <x:v>49</x:v>
      </x:c>
      <x:c r="AG318" s="13" t="str">
        <x:f>IF(AF318&gt;=80,"Batch 1",IF(AF318&gt;=70,"Batch 2",IF(AF318&gt;=60,"Batch 3","Backlog")))</x:f>
        <x:v>Backlog</x:v>
      </x:c>
      <x:c r="AH318" t="inlineStr">
        <x:is>
          <x:t xml:space="preserve"/>
        </x:is>
      </x:c>
    </x:row>
    <x:row r="319">
      <x:c r="A319" s="5" t="inlineStr">
        <x:is>
          <x:t xml:space="preserve">GPO-MUS-13</x:t>
        </x:is>
      </x:c>
      <x:c r="B319" s="5" t="n">
        <x:v>315</x:v>
      </x:c>
      <x:c r="C319" s="5" t="inlineStr">
        <x:is>
          <x:t xml:space="preserve">Music &amp; Audio Creation</x:t>
        </x:is>
      </x:c>
      <x:c r="D319" s="5" t="inlineStr">
        <x:is>
          <x:t xml:space="preserve">Create</x:t>
        </x:is>
      </x:c>
      <x:c r="E319" s="5" t="inlineStr">
        <x:is>
          <x:t xml:space="preserve">Expansion 150</x:t>
        </x:is>
      </x:c>
      <x:c r="F319" s="5" t="n">
        <x:v>13</x:v>
      </x:c>
      <x:c r="G319" s="5" t="inlineStr">
        <x:is>
          <x:t xml:space="preserve">Turn a voice note/hummed tune into a usable musical sketch.</x:t>
        </x:is>
      </x:c>
      <x:c r="H319" s="6" t="n">
        <x:v>40</x:v>
      </x:c>
      <x:c r="I319" s="6" t="n">
        <x:v>40</x:v>
      </x:c>
      <x:c r="J319" s="7" t="n">
        <x:v>55</x:v>
      </x:c>
      <x:c r="K319" s="7" t="n">
        <x:v>47</x:v>
      </x:c>
      <x:c r="L319" s="8" t="inlineStr">
        <x:is>
          <x:t xml:space="preserve">UNTESTED</x:t>
        </x:is>
      </x:c>
      <x:c r="M319" s="9" t="inlineStr">
        <x:is>
          <x:t xml:space="preserve">UNTESTED</x:t>
        </x:is>
      </x:c>
      <x:c r="N319" s="5" t="inlineStr">
        <x:is>
          <x:t xml:space="preserve">theory help; composition support; practice coaching; audio workflow planning</x:t>
        </x:is>
      </x:c>
      <x:c r="O319" s="5" t="inlineStr">
        <x:is>
          <x:t xml:space="preserve">Low</x:t>
        </x:is>
      </x:c>
      <x:c r="P319" s="5" t="inlineStr">
        <x:is>
          <x:t xml:space="preserve">Medium</x:t>
        </x:is>
      </x:c>
      <x:c r="Q319" s="5" t="inlineStr">
        <x:is>
          <x:t xml:space="preserve">Medium</x:t>
        </x:is>
      </x:c>
      <x:c r="R319" s="5" t="inlineStr">
        <x:is>
          <x:t xml:space="preserve">Low</x:t>
        </x:is>
      </x:c>
      <x:c r="S319" s="5" t="inlineStr">
        <x:is>
          <x:t xml:space="preserve">Medium</x:t>
        </x:is>
      </x:c>
      <x:c r="T319" s="5" t="inlineStr">
        <x:is>
          <x:t xml:space="preserve">ChatGPT/Claude planning + external music tools</x:t>
        </x:is>
      </x:c>
      <x:c r="U319" s="5" t="inlineStr">
        <x:is>
          <x:t xml:space="preserve">Medium</x:t>
        </x:is>
      </x:c>
      <x:c r="V319" s="10" t="n">
        <x:v>2</x:v>
      </x:c>
      <x:c r="W319" s="5" t="inlineStr">
        <x:is>
          <x:t xml:space="preserve">Creative coaching + workflow review</x:t>
        </x:is>
      </x:c>
      <x:c r="X319" s="5" t="inlineStr">
        <x:is>
          <x:t xml:space="preserve">practice plan / composition guide / arrangement brief</x:t>
        </x:is>
      </x:c>
      <x:c r="Y319" s="5" t="inlineStr">
        <x:is>
          <x:t xml:space="preserve">Output helps create or learn music in a concrete, musically coherent way.</x:t>
        </x:is>
      </x:c>
      <x:c r="Z319" s="5" t="inlineStr">
        <x:is>
          <x:t xml:space="preserve">Musically weak suggestions, generic advice, or no usable next step.</x:t>
        </x:is>
      </x:c>
      <x:c r="AA319" s="5" t="inlineStr">
        <x:is>
          <x:t xml:space="preserve">music mode / external tool routing / structured lesson outputs</x:t>
        </x:is>
      </x:c>
      <x:c r="AB319" s="5" t="inlineStr">
        <x:is>
          <x:t xml:space="preserve"/>
        </x:is>
      </x:c>
      <x:c r="AC319" s="5" t="inlineStr">
        <x:is>
          <x:t xml:space="preserve">Music-maker surveys show strong AI usage in parts of workflow, but full-song generation is less appealing; consumer trust remains mixed.</x:t>
        </x:is>
      </x:c>
      <x:c r="AD319" s="5" t="inlineStr">
        <x:is>
          <x:t xml:space="preserve">LANDR study 2025; PRS for Music 2026; Bain media survey 2025</x:t>
        </x:is>
      </x:c>
      <x:c r="AE319" s="11">
        <x:f>IF(O319="High",20,IF(O319="Medium",10,IF(O319="Low",5,0)))+IF(P319="High",20,IF(P319="Medium",10,IF(P319="Low",5,0)))+IF(Q319="High",20,IF(Q319="Medium",10,IF(Q319="Low",5,0)))+IF(R319="High",20,IF(R319="Medium",10,IF(R319="Low",5,0)))+IF(S319="High",20,IF(S319="Medium",10,IF(S319="Low",5,0)))</x:f>
        <x:v>40</x:v>
      </x:c>
      <x:c r="AF319" s="12">
        <x:f>ROUND(H319*0.30+J319*0.25+K319*0.20+(100-AE319)*0.10+(100-(V319*20))*0.15,0)</x:f>
        <x:v>50</x:v>
      </x:c>
      <x:c r="AG319" s="13" t="str">
        <x:f>IF(AF319&gt;=80,"Batch 1",IF(AF319&gt;=70,"Batch 2",IF(AF319&gt;=60,"Batch 3","Backlog")))</x:f>
        <x:v>Backlog</x:v>
      </x:c>
      <x:c r="AH319" t="inlineStr">
        <x:is>
          <x:t xml:space="preserve"/>
        </x:is>
      </x:c>
    </x:row>
    <x:row r="320">
      <x:c r="A320" s="5" t="inlineStr">
        <x:is>
          <x:t xml:space="preserve">GPO-HOM-21</x:t>
        </x:is>
      </x:c>
      <x:c r="B320" s="5" t="n">
        <x:v>316</x:v>
      </x:c>
      <x:c r="C320" s="5" t="inlineStr">
        <x:is>
          <x:t xml:space="preserve">Home &amp; Lifestyle Design</x:t>
        </x:is>
      </x:c>
      <x:c r="D320" s="5" t="inlineStr">
        <x:is>
          <x:t xml:space="preserve">Design</x:t>
        </x:is>
      </x:c>
      <x:c r="E320" s="5" t="inlineStr">
        <x:is>
          <x:t xml:space="preserve">Stretch 60</x:t>
        </x:is>
      </x:c>
      <x:c r="F320" s="5" t="n">
        <x:v>21</x:v>
      </x:c>
      <x:c r="G320" s="5" t="inlineStr">
        <x:is>
          <x:t xml:space="preserve">Create a full-home operating design where every space supports a behavior or life goal.</x:t>
        </x:is>
      </x:c>
      <x:c r="H320" s="6" t="n">
        <x:v>38</x:v>
      </x:c>
      <x:c r="I320" s="6" t="n">
        <x:v>38</x:v>
      </x:c>
      <x:c r="J320" s="7" t="n">
        <x:v>58</x:v>
      </x:c>
      <x:c r="K320" s="7" t="n">
        <x:v>47</x:v>
      </x:c>
      <x:c r="L320" s="8" t="inlineStr">
        <x:is>
          <x:t xml:space="preserve">UNTESTED</x:t>
        </x:is>
      </x:c>
      <x:c r="M320" s="9" t="inlineStr">
        <x:is>
          <x:t xml:space="preserve">UNTESTED</x:t>
        </x:is>
      </x:c>
      <x:c r="N320" s="5" t="inlineStr">
        <x:is>
          <x:t xml:space="preserve">space planning; product curation; aesthetic reasoning; phased project planning</x:t>
        </x:is>
      </x:c>
      <x:c r="O320" s="5" t="inlineStr">
        <x:is>
          <x:t xml:space="preserve">Medium</x:t>
        </x:is>
      </x:c>
      <x:c r="P320" s="5" t="inlineStr">
        <x:is>
          <x:t xml:space="preserve">High</x:t>
        </x:is>
      </x:c>
      <x:c r="Q320" s="5" t="inlineStr">
        <x:is>
          <x:t xml:space="preserve">Medium</x:t>
        </x:is>
      </x:c>
      <x:c r="R320" s="5" t="inlineStr">
        <x:is>
          <x:t xml:space="preserve">Low</x:t>
        </x:is>
      </x:c>
      <x:c r="S320" s="5" t="inlineStr">
        <x:is>
          <x:t xml:space="preserve">Low</x:t>
        </x:is>
      </x:c>
      <x:c r="T320" s="5" t="inlineStr">
        <x:is>
          <x:t xml:space="preserve">ChatGPT with web; image/design tools later</x:t>
        </x:is>
      </x:c>
      <x:c r="U320" s="5" t="inlineStr">
        <x:is>
          <x:t xml:space="preserve">Hard</x:t>
        </x:is>
      </x:c>
      <x:c r="V320" s="10" t="n">
        <x:v>3</x:v>
      </x:c>
      <x:c r="W320" s="5" t="inlineStr">
        <x:is>
          <x:t xml:space="preserve">Design brief generation + feasibility review</x:t>
        </x:is>
      </x:c>
      <x:c r="X320" s="5" t="inlineStr">
        <x:is>
          <x:t xml:space="preserve">layout / shopping plan / phased upgrade roadmap</x:t>
        </x:is>
      </x:c>
      <x:c r="Y320" s="5" t="inlineStr">
        <x:is>
          <x:t xml:space="preserve">Design plan feels cohesive, practical, and matched to lifestyle goals.</x:t>
        </x:is>
      </x:c>
      <x:c r="Z320" s="5" t="inlineStr">
        <x:is>
          <x:t xml:space="preserve">Pretty but impractical suggestions, no budget logic, or weak taste alignment.</x:t>
        </x:is>
      </x:c>
      <x:c r="AA320" s="5" t="inlineStr">
        <x:is>
          <x:t xml:space="preserve">design preference memory / shopping integration / image workflow</x:t>
        </x:is>
      </x:c>
      <x:c r="AB320" s="5" t="inlineStr">
        <x:is>
          <x:t xml:space="preserve"/>
        </x:is>
      </x:c>
      <x:c r="AC320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20" s="5" t="inlineStr">
        <x:is>
          <x:t xml:space="preserve">ThinkLab 2025 design benchmark; Houzz 2025 AI in construction &amp; design; Canadian Contractor/Mattoboard survey 2025</x:t>
        </x:is>
      </x:c>
      <x:c r="AE320" s="11">
        <x:f>IF(O320="High",20,IF(O320="Medium",10,IF(O320="Low",5,0)))+IF(P320="High",20,IF(P320="Medium",10,IF(P320="Low",5,0)))+IF(Q320="High",20,IF(Q320="Medium",10,IF(Q320="Low",5,0)))+IF(R320="High",20,IF(R320="Medium",10,IF(R320="Low",5,0)))+IF(S320="High",20,IF(S320="Medium",10,IF(S320="Low",5,0)))</x:f>
        <x:v>50</x:v>
      </x:c>
      <x:c r="AF320" s="12">
        <x:f>ROUND(H320*0.30+J320*0.25+K320*0.20+(100-AE320)*0.10+(100-(V320*20))*0.15,0)</x:f>
        <x:v>46</x:v>
      </x:c>
      <x:c r="AG320" s="13" t="str">
        <x:f>IF(AF320&gt;=80,"Batch 1",IF(AF320&gt;=70,"Batch 2",IF(AF320&gt;=60,"Batch 3","Backlog")))</x:f>
        <x:v>Backlog</x:v>
      </x:c>
      <x:c r="AH320" t="inlineStr">
        <x:is>
          <x:t xml:space="preserve"/>
        </x:is>
      </x:c>
    </x:row>
    <x:row r="321">
      <x:c r="A321" s="5" t="inlineStr">
        <x:is>
          <x:t xml:space="preserve">GPO-SCR-22</x:t>
        </x:is>
      </x:c>
      <x:c r="B321" s="5" t="n">
        <x:v>317</x:v>
      </x:c>
      <x:c r="C321" s="5" t="inlineStr">
        <x:is>
          <x:t xml:space="preserve">Screenwriting &amp; Story Development</x:t>
        </x:is>
      </x:c>
      <x:c r="D321" s="5" t="inlineStr">
        <x:is>
          <x:t xml:space="preserve">Create</x:t>
        </x:is>
      </x:c>
      <x:c r="E321" s="5" t="inlineStr">
        <x:is>
          <x:t xml:space="preserve">Stretch 60</x:t>
        </x:is>
      </x:c>
      <x:c r="F321" s="5" t="n">
        <x:v>22</x:v>
      </x:c>
      <x:c r="G321" s="5" t="inlineStr">
        <x:is>
          <x:t xml:space="preserve">Turn raw personal memories into cinematic scenes with structure and emotional clarity.</x:t>
        </x:is>
      </x:c>
      <x:c r="H321" s="6" t="n">
        <x:v>38</x:v>
      </x:c>
      <x:c r="I321" s="6" t="n">
        <x:v>38</x:v>
      </x:c>
      <x:c r="J321" s="7" t="n">
        <x:v>58</x:v>
      </x:c>
      <x:c r="K321" s="7" t="n">
        <x:v>47</x:v>
      </x:c>
      <x:c r="L321" s="8" t="inlineStr">
        <x:is>
          <x:t xml:space="preserve">UNTESTED</x:t>
        </x:is>
      </x:c>
      <x:c r="M321" s="9" t="inlineStr">
        <x:is>
          <x:t xml:space="preserve">UNTESTED</x:t>
        </x:is>
      </x:c>
      <x:c r="N321" s="5" t="inlineStr">
        <x:is>
          <x:t xml:space="preserve">creative ideation; story structure; tone control; character design</x:t>
        </x:is>
      </x:c>
      <x:c r="O321" s="5" t="inlineStr">
        <x:is>
          <x:t xml:space="preserve">Low</x:t>
        </x:is>
      </x:c>
      <x:c r="P321" s="5" t="inlineStr">
        <x:is>
          <x:t xml:space="preserve">Medium</x:t>
        </x:is>
      </x:c>
      <x:c r="Q321" s="5" t="inlineStr">
        <x:is>
          <x:t xml:space="preserve">Low</x:t>
        </x:is>
      </x:c>
      <x:c r="R321" s="5" t="inlineStr">
        <x:is>
          <x:t xml:space="preserve">Low</x:t>
        </x:is>
      </x:c>
      <x:c r="S321" s="5" t="inlineStr">
        <x:is>
          <x:t xml:space="preserve">Low</x:t>
        </x:is>
      </x:c>
      <x:c r="T321" s="5" t="inlineStr">
        <x:is>
          <x:t xml:space="preserve">ChatGPT or Claude creative mode</x:t>
        </x:is>
      </x:c>
      <x:c r="U321" s="5" t="inlineStr">
        <x:is>
          <x:t xml:space="preserve">Hard</x:t>
        </x:is>
      </x:c>
      <x:c r="V321" s="10" t="n">
        <x:v>3</x:v>
      </x:c>
      <x:c r="W321" s="5" t="inlineStr">
        <x:is>
          <x:t xml:space="preserve">Creative prompt run + human taste review</x:t>
        </x:is>
      </x:c>
      <x:c r="X321" s="5" t="inlineStr">
        <x:is>
          <x:t xml:space="preserve">logline / outline / scene rewrite / treatment</x:t>
        </x:is>
      </x:c>
      <x:c r="Y321" s="5" t="inlineStr">
        <x:is>
          <x:t xml:space="preserve">Story work feels coherent, original, and emotionally alive.</x:t>
        </x:is>
      </x:c>
      <x:c r="Z321" s="5" t="inlineStr">
        <x:is>
          <x:t xml:space="preserve">Cliche ideas, flat dialogue, weak stakes, or no tonal discipline.</x:t>
        </x:is>
      </x:c>
      <x:c r="AA321" s="5" t="inlineStr">
        <x:is>
          <x:t xml:space="preserve">creative mode / style packs / development workflow</x:t>
        </x:is>
      </x:c>
      <x:c r="AB321" s="5" t="inlineStr">
        <x:is>
          <x:t xml:space="preserve"/>
        </x:is>
      </x:c>
      <x:c r="AC321" s="5" t="inlineStr">
        <x:is>
          <x:t xml:space="preserve">OpenAI practical guidance includes creative ideation; creator surveys show broad use of generative AI in creative workflows.</x:t>
        </x:is>
      </x:c>
      <x:c r="AD321" s="5" t="inlineStr">
        <x:is>
          <x:t xml:space="preserve">OpenAI How People Use ChatGPT paper; Adobe creators survey 2025; Wondercraft/Digiday creator workflow survey 2025</x:t>
        </x:is>
      </x:c>
      <x:c r="AE321" s="11">
        <x:f>IF(O321="High",20,IF(O321="Medium",10,IF(O321="Low",5,0)))+IF(P321="High",20,IF(P321="Medium",10,IF(P321="Low",5,0)))+IF(Q321="High",20,IF(Q321="Medium",10,IF(Q321="Low",5,0)))+IF(R321="High",20,IF(R321="Medium",10,IF(R321="Low",5,0)))+IF(S321="High",20,IF(S321="Medium",10,IF(S321="Low",5,0)))</x:f>
        <x:v>30</x:v>
      </x:c>
      <x:c r="AF321" s="12">
        <x:f>ROUND(H321*0.30+J321*0.25+K321*0.20+(100-AE321)*0.10+(100-(V321*20))*0.15,0)</x:f>
        <x:v>48</x:v>
      </x:c>
      <x:c r="AG321" s="13" t="str">
        <x:f>IF(AF321&gt;=80,"Batch 1",IF(AF321&gt;=70,"Batch 2",IF(AF321&gt;=60,"Batch 3","Backlog")))</x:f>
        <x:v>Backlog</x:v>
      </x:c>
      <x:c r="AH321" t="inlineStr">
        <x:is>
          <x:t xml:space="preserve"/>
        </x:is>
      </x:c>
    </x:row>
    <x:row r="322">
      <x:c r="A322" s="5" t="inlineStr">
        <x:is>
          <x:t xml:space="preserve">GPO-STA-23</x:t>
        </x:is>
      </x:c>
      <x:c r="B322" s="5" t="n">
        <x:v>318</x:v>
      </x:c>
      <x:c r="C322" s="5" t="inlineStr">
        <x:is>
          <x:t xml:space="preserve">Startup &amp; Business Builder</x:t>
        </x:is>
      </x:c>
      <x:c r="D322" s="5" t="inlineStr">
        <x:is>
          <x:t xml:space="preserve">Build</x:t>
        </x:is>
      </x:c>
      <x:c r="E322" s="5" t="inlineStr">
        <x:is>
          <x:t xml:space="preserve">Stretch 60</x:t>
        </x:is>
      </x:c>
      <x:c r="F322" s="5" t="n">
        <x:v>23</x:v>
      </x:c>
      <x:c r="G322" s="5" t="inlineStr">
        <x:is>
          <x:t xml:space="preserve">Turn test-case failures into business opportunity maps for new GPO product wedges.</x:t>
        </x:is>
      </x:c>
      <x:c r="H322" s="6" t="n">
        <x:v>38</x:v>
      </x:c>
      <x:c r="I322" s="6" t="n">
        <x:v>38</x:v>
      </x:c>
      <x:c r="J322" s="7" t="n">
        <x:v>58</x:v>
      </x:c>
      <x:c r="K322" s="7" t="n">
        <x:v>47</x:v>
      </x:c>
      <x:c r="L322" s="8" t="inlineStr">
        <x:is>
          <x:t xml:space="preserve">UNTESTED</x:t>
        </x:is>
      </x:c>
      <x:c r="M322" s="9" t="inlineStr">
        <x:is>
          <x:t xml:space="preserve">UNTESTED</x:t>
        </x:is>
      </x:c>
      <x:c r="N322" s="5" t="inlineStr">
        <x:is>
          <x:t xml:space="preserve">strategy; product thinking; GTM reasoning; structured planning</x:t>
        </x:is>
      </x:c>
      <x:c r="O322" s="5" t="inlineStr">
        <x:is>
          <x:t xml:space="preserve">Medium</x:t>
        </x:is>
      </x:c>
      <x:c r="P322" s="5" t="inlineStr">
        <x:is>
          <x:t xml:space="preserve">High</x:t>
        </x:is>
      </x:c>
      <x:c r="Q322" s="5" t="inlineStr">
        <x:is>
          <x:t xml:space="preserve">Low</x:t>
        </x:is>
      </x:c>
      <x:c r="R322" s="5" t="inlineStr">
        <x:is>
          <x:t xml:space="preserve">Medium</x:t>
        </x:is>
      </x:c>
      <x:c r="S322" s="5" t="inlineStr">
        <x:is>
          <x:t xml:space="preserve">Low</x:t>
        </x:is>
      </x:c>
      <x:c r="T322" s="5" t="inlineStr">
        <x:is>
          <x:t xml:space="preserve">Claude + ChatGPT combo</x:t>
        </x:is>
      </x:c>
      <x:c r="U322" s="5" t="inlineStr">
        <x:is>
          <x:t xml:space="preserve">Hard</x:t>
        </x:is>
      </x:c>
      <x:c r="V322" s="10" t="n">
        <x:v>3</x:v>
      </x:c>
      <x:c r="W322" s="5" t="inlineStr">
        <x:is>
          <x:t xml:space="preserve">Plan generation + critique + strategic review</x:t>
        </x:is>
      </x:c>
      <x:c r="X322" s="5" t="inlineStr">
        <x:is>
          <x:t xml:space="preserve">roadmap / GTM plan / business memo</x:t>
        </x:is>
      </x:c>
      <x:c r="Y322" s="5" t="inlineStr">
        <x:is>
          <x:t xml:space="preserve">Recommendation is strategically sharp, prioritized, and grounded in market reality.</x:t>
        </x:is>
      </x:c>
      <x:c r="Z322" s="5" t="inlineStr">
        <x:is>
          <x:t xml:space="preserve">Buzzwordy output, no wedge, weak prioritization, or unearned confidence.</x:t>
        </x:is>
      </x:c>
      <x:c r="AA322" s="5" t="inlineStr">
        <x:is>
          <x:t xml:space="preserve">strategy templates / board logic / critique loop</x:t>
        </x:is>
      </x:c>
      <x:c r="AB322" s="5" t="inlineStr">
        <x:is>
          <x:t xml:space="preserve"/>
        </x:is>
      </x:c>
      <x:c r="AC322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322" s="5" t="inlineStr">
        <x:is>
          <x:t xml:space="preserve">OpenAI How People Use ChatGPT paper; Menlo State of Consumer AI 2025; Menlo AI UI Problem 2025</x:t>
        </x:is>
      </x:c>
      <x:c r="AE322" s="11">
        <x:f>IF(O322="High",20,IF(O322="Medium",10,IF(O322="Low",5,0)))+IF(P322="High",20,IF(P322="Medium",10,IF(P322="Low",5,0)))+IF(Q322="High",20,IF(Q322="Medium",10,IF(Q322="Low",5,0)))+IF(R322="High",20,IF(R322="Medium",10,IF(R322="Low",5,0)))+IF(S322="High",20,IF(S322="Medium",10,IF(S322="Low",5,0)))</x:f>
        <x:v>50</x:v>
      </x:c>
      <x:c r="AF322" s="12">
        <x:f>ROUND(H322*0.30+J322*0.25+K322*0.20+(100-AE322)*0.10+(100-(V322*20))*0.15,0)</x:f>
        <x:v>46</x:v>
      </x:c>
      <x:c r="AG322" s="13" t="str">
        <x:f>IF(AF322&gt;=80,"Batch 1",IF(AF322&gt;=70,"Batch 2",IF(AF322&gt;=60,"Batch 3","Backlog")))</x:f>
        <x:v>Backlog</x:v>
      </x:c>
      <x:c r="AH322" t="inlineStr">
        <x:is>
          <x:t xml:space="preserve"/>
        </x:is>
      </x:c>
    </x:row>
    <x:row r="323">
      <x:c r="A323" s="5" t="inlineStr">
        <x:is>
          <x:t xml:space="preserve">GPO-TRA-24</x:t>
        </x:is>
      </x:c>
      <x:c r="B323" s="5" t="n">
        <x:v>319</x:v>
      </x:c>
      <x:c r="C323" s="5" t="inlineStr">
        <x:is>
          <x:t xml:space="preserve">Travel &amp; Relocation Planner</x:t>
        </x:is>
      </x:c>
      <x:c r="D323" s="5" t="inlineStr">
        <x:is>
          <x:t xml:space="preserve">Move</x:t>
        </x:is>
      </x:c>
      <x:c r="E323" s="5" t="inlineStr">
        <x:is>
          <x:t xml:space="preserve">Stretch 60</x:t>
        </x:is>
      </x:c>
      <x:c r="F323" s="5" t="n">
        <x:v>24</x:v>
      </x:c>
      <x:c r="G323" s="5" t="inlineStr">
        <x:is>
          <x:t xml:space="preserve">Recommend the best base city for a specific lifestyle and career strategy over a 3-5 year horizon.</x:t>
        </x:is>
      </x:c>
      <x:c r="H323" s="6" t="n">
        <x:v>38</x:v>
      </x:c>
      <x:c r="I323" s="6" t="n">
        <x:v>38</x:v>
      </x:c>
      <x:c r="J323" s="7" t="n">
        <x:v>58</x:v>
      </x:c>
      <x:c r="K323" s="7" t="n">
        <x:v>47</x:v>
      </x:c>
      <x:c r="L323" s="8" t="inlineStr">
        <x:is>
          <x:t xml:space="preserve">UNTESTED</x:t>
        </x:is>
      </x:c>
      <x:c r="M323" s="9" t="inlineStr">
        <x:is>
          <x:t xml:space="preserve">UNTESTED</x:t>
        </x:is>
      </x:c>
      <x:c r="N323" s="5" t="inlineStr">
        <x:is>
          <x:t xml:space="preserve">travel research; itinerary planning; logistics reasoning; contingency planning</x:t>
        </x:is>
      </x:c>
      <x:c r="O323" s="5" t="inlineStr">
        <x:is>
          <x:t xml:space="preserve">High</x:t>
        </x:is>
      </x:c>
      <x:c r="P323" s="5" t="inlineStr">
        <x:is>
          <x:t xml:space="preserve">Medium</x:t>
        </x:is>
      </x:c>
      <x:c r="Q323" s="5" t="inlineStr">
        <x:is>
          <x:t xml:space="preserve">Medium</x:t>
        </x:is>
      </x:c>
      <x:c r="R323" s="5" t="inlineStr">
        <x:is>
          <x:t xml:space="preserve">Low</x:t>
        </x:is>
      </x:c>
      <x:c r="S323" s="5" t="inlineStr">
        <x:is>
          <x:t xml:space="preserve">Low</x:t>
        </x:is>
      </x:c>
      <x:c r="T323" s="5" t="inlineStr">
        <x:is>
          <x:t xml:space="preserve">ChatGPT with web; maps/calendar later</x:t>
        </x:is>
      </x:c>
      <x:c r="U323" s="5" t="inlineStr">
        <x:is>
          <x:t xml:space="preserve">Hard</x:t>
        </x:is>
      </x:c>
      <x:c r="V323" s="10" t="n">
        <x:v>3</x:v>
      </x:c>
      <x:c r="W323" s="5" t="inlineStr">
        <x:is>
          <x:t xml:space="preserve">Live trip planning + feasibility review</x:t>
        </x:is>
      </x:c>
      <x:c r="X323" s="5" t="inlineStr">
        <x:is>
          <x:t xml:space="preserve">itinerary / relocation plan / checklist</x:t>
        </x:is>
      </x:c>
      <x:c r="Y323" s="5" t="inlineStr">
        <x:is>
          <x:t xml:space="preserve">Plan is current, geographically sensible, and tuned to budget/constraints.</x:t>
        </x:is>
      </x:c>
      <x:c r="Z323" s="5" t="inlineStr">
        <x:is>
          <x:t xml:space="preserve">Bad logistics, stale info, wrong timing, or generic travel advice.</x:t>
        </x:is>
      </x:c>
      <x:c r="AA323" s="5" t="inlineStr">
        <x:is>
          <x:t xml:space="preserve">travel templates / web + mapping integration / logistics engine</x:t>
        </x:is>
      </x:c>
      <x:c r="AB323" s="5" t="inlineStr">
        <x:is>
          <x:t xml:space="preserve"/>
        </x:is>
      </x:c>
      <x:c r="AC323" s="5" t="inlineStr">
        <x:is>
          <x:t xml:space="preserve">Deloitte top chatbot uses include travel planning; Adobe says 29% of consumers have used AI to plan trips and AI-driven travel site traffic rose 3,500% YoY in July 2025.</x:t>
        </x:is>
      </x:c>
      <x:c r="AD323" s="5" t="inlineStr">
        <x:is>
          <x:t xml:space="preserve">Deloitte Connected Consumer 2025; Adobe travel planning 2025</x:t>
        </x:is>
      </x:c>
      <x:c r="AE323" s="11">
        <x:f>IF(O323="High",20,IF(O323="Medium",10,IF(O323="Low",5,0)))+IF(P323="High",20,IF(P323="Medium",10,IF(P323="Low",5,0)))+IF(Q323="High",20,IF(Q323="Medium",10,IF(Q323="Low",5,0)))+IF(R323="High",20,IF(R323="Medium",10,IF(R323="Low",5,0)))+IF(S323="High",20,IF(S323="Medium",10,IF(S323="Low",5,0)))</x:f>
        <x:v>50</x:v>
      </x:c>
      <x:c r="AF323" s="12">
        <x:f>ROUND(H323*0.30+J323*0.25+K323*0.20+(100-AE323)*0.10+(100-(V323*20))*0.15,0)</x:f>
        <x:v>46</x:v>
      </x:c>
      <x:c r="AG323" s="13" t="str">
        <x:f>IF(AF323&gt;=80,"Batch 1",IF(AF323&gt;=70,"Batch 2",IF(AF323&gt;=60,"Batch 3","Backlog")))</x:f>
        <x:v>Backlog</x:v>
      </x:c>
      <x:c r="AH323" t="inlineStr">
        <x:is>
          <x:t xml:space="preserve"/>
        </x:is>
      </x:c>
    </x:row>
    <x:row r="324">
      <x:c r="A324" s="5" t="inlineStr">
        <x:is>
          <x:t xml:space="preserve">GPO-FIL-12</x:t>
        </x:is>
      </x:c>
      <x:c r="B324" s="5" t="n">
        <x:v>320</x:v>
      </x:c>
      <x:c r="C324" s="5" t="inlineStr">
        <x:is>
          <x:t xml:space="preserve">Filmmaking &amp; Video Production</x:t>
        </x:is>
      </x:c>
      <x:c r="D324" s="5" t="inlineStr">
        <x:is>
          <x:t xml:space="preserve">Create</x:t>
        </x:is>
      </x:c>
      <x:c r="E324" s="5" t="inlineStr">
        <x:is>
          <x:t xml:space="preserve">Expansion 150</x:t>
        </x:is>
      </x:c>
      <x:c r="F324" s="5" t="n">
        <x:v>12</x:v>
      </x:c>
      <x:c r="G324" s="5" t="inlineStr">
        <x:is>
          <x:t xml:space="preserve">Help me select the right model stack for pre-vis, animation, and final shots.</x:t>
        </x:is>
      </x:c>
      <x:c r="H324" s="6" t="n">
        <x:v>44</x:v>
      </x:c>
      <x:c r="I324" s="6" t="n">
        <x:v>44</x:v>
      </x:c>
      <x:c r="J324" s="7" t="n">
        <x:v>49</x:v>
      </x:c>
      <x:c r="K324" s="7" t="n">
        <x:v>46</x:v>
      </x:c>
      <x:c r="L324" s="8" t="inlineStr">
        <x:is>
          <x:t xml:space="preserve">UNTESTED</x:t>
        </x:is>
      </x:c>
      <x:c r="M324" s="9" t="inlineStr">
        <x:is>
          <x:t xml:space="preserve">UNTESTED</x:t>
        </x:is>
      </x:c>
      <x:c r="N324" s="5" t="inlineStr">
        <x:is>
          <x:t xml:space="preserve">shot planning; multimodal coordination; tool routing; production workflow</x:t>
        </x:is>
      </x:c>
      <x:c r="O324" s="5" t="inlineStr">
        <x:is>
          <x:t xml:space="preserve">Low</x:t>
        </x:is>
      </x:c>
      <x:c r="P324" s="5" t="inlineStr">
        <x:is>
          <x:t xml:space="preserve">Medium</x:t>
        </x:is>
      </x:c>
      <x:c r="Q324" s="5" t="inlineStr">
        <x:is>
          <x:t xml:space="preserve">High</x:t>
        </x:is>
      </x:c>
      <x:c r="R324" s="5" t="inlineStr">
        <x:is>
          <x:t xml:space="preserve">High</x:t>
        </x:is>
      </x:c>
      <x:c r="S324" s="5" t="inlineStr">
        <x:is>
          <x:t xml:space="preserve">Medium</x:t>
        </x:is>
      </x:c>
      <x:c r="T324" s="5" t="inlineStr">
        <x:is>
          <x:t xml:space="preserve">Claude planning + external video/image tools</x:t>
        </x:is>
      </x:c>
      <x:c r="U324" s="5" t="inlineStr">
        <x:is>
          <x:t xml:space="preserve">Hard</x:t>
        </x:is>
      </x:c>
      <x:c r="V324" s="10" t="n">
        <x:v>3</x:v>
      </x:c>
      <x:c r="W324" s="5" t="inlineStr">
        <x:is>
          <x:t xml:space="preserve">Workflow plan + asset chain review</x:t>
        </x:is>
      </x:c>
      <x:c r="X324" s="5" t="inlineStr">
        <x:is>
          <x:t xml:space="preserve">shot list / storyboard / production workflow / tool stack recommendation</x:t>
        </x:is>
      </x:c>
      <x:c r="Y324" s="5" t="inlineStr">
        <x:is>
          <x:t xml:space="preserve">Workflow is executable with current tools and preserves consistency across assets.</x:t>
        </x:is>
      </x:c>
      <x:c r="Z324" s="5" t="inlineStr">
        <x:is>
          <x:t xml:space="preserve">Ignores tool limits, no consistency strategy, or vague production logic.</x:t>
        </x:is>
      </x:c>
      <x:c r="AA324" s="5" t="inlineStr">
        <x:is>
          <x:t xml:space="preserve">multimodal orchestration / provider routing / asset schema</x:t>
        </x:is>
      </x:c>
      <x:c r="AB324" s="5" t="inlineStr">
        <x:is>
          <x:t xml:space="preserve"/>
        </x:is>
      </x:c>
      <x:c r="AC324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24" s="5" t="inlineStr">
        <x:is>
          <x:t xml:space="preserve">Wondercraft/Digiday creator workflow survey 2025; Artificial Analysis generative media survey 2025; Reuters/Canal+ 2026</x:t>
        </x:is>
      </x:c>
      <x:c r="AE324" s="11">
        <x:f>IF(O324="High",20,IF(O324="Medium",10,IF(O324="Low",5,0)))+IF(P324="High",20,IF(P324="Medium",10,IF(P324="Low",5,0)))+IF(Q324="High",20,IF(Q324="Medium",10,IF(Q324="Low",5,0)))+IF(R324="High",20,IF(R324="Medium",10,IF(R324="Low",5,0)))+IF(S324="High",20,IF(S324="Medium",10,IF(S324="Low",5,0)))</x:f>
        <x:v>65</x:v>
      </x:c>
      <x:c r="AF324" s="12">
        <x:f>ROUND(H324*0.30+J324*0.25+K324*0.20+(100-AE324)*0.10+(100-(V324*20))*0.15,0)</x:f>
        <x:v>44</x:v>
      </x:c>
      <x:c r="AG324" s="13" t="str">
        <x:f>IF(AF324&gt;=80,"Batch 1",IF(AF324&gt;=70,"Batch 2",IF(AF324&gt;=60,"Batch 3","Backlog")))</x:f>
        <x:v>Backlog</x:v>
      </x:c>
      <x:c r="AH324" t="inlineStr">
        <x:is>
          <x:t xml:space="preserve"/>
        </x:is>
      </x:c>
    </x:row>
    <x:row r="325">
      <x:c r="A325" s="5" t="inlineStr">
        <x:is>
          <x:t xml:space="preserve">GPO-HOM-16</x:t>
        </x:is>
      </x:c>
      <x:c r="B325" s="5" t="n">
        <x:v>321</x:v>
      </x:c>
      <x:c r="C325" s="5" t="inlineStr">
        <x:is>
          <x:t xml:space="preserve">Home &amp; Lifestyle Design</x:t>
        </x:is>
      </x:c>
      <x:c r="D325" s="5" t="inlineStr">
        <x:is>
          <x:t xml:space="preserve">Design</x:t>
        </x:is>
      </x:c>
      <x:c r="E325" s="5" t="inlineStr">
        <x:is>
          <x:t xml:space="preserve">Expansion 150</x:t>
        </x:is>
      </x:c>
      <x:c r="F325" s="5" t="n">
        <x:v>16</x:v>
      </x:c>
      <x:c r="G325" s="5" t="inlineStr">
        <x:is>
          <x:t xml:space="preserve">Turn inspiration images into a concrete shopping/specification plan.</x:t>
        </x:is>
      </x:c>
      <x:c r="H325" s="6" t="n">
        <x:v>34</x:v>
      </x:c>
      <x:c r="I325" s="6" t="n">
        <x:v>34</x:v>
      </x:c>
      <x:c r="J325" s="7" t="n">
        <x:v>62</x:v>
      </x:c>
      <x:c r="K325" s="7" t="n">
        <x:v>47</x:v>
      </x:c>
      <x:c r="L325" s="8" t="inlineStr">
        <x:is>
          <x:t xml:space="preserve">UNTESTED</x:t>
        </x:is>
      </x:c>
      <x:c r="M325" s="9" t="inlineStr">
        <x:is>
          <x:t xml:space="preserve">UNTESTED</x:t>
        </x:is>
      </x:c>
      <x:c r="N325" s="5" t="inlineStr">
        <x:is>
          <x:t xml:space="preserve">space planning; product curation; aesthetic reasoning; phased project planning</x:t>
        </x:is>
      </x:c>
      <x:c r="O325" s="5" t="inlineStr">
        <x:is>
          <x:t xml:space="preserve">Medium</x:t>
        </x:is>
      </x:c>
      <x:c r="P325" s="5" t="inlineStr">
        <x:is>
          <x:t xml:space="preserve">High</x:t>
        </x:is>
      </x:c>
      <x:c r="Q325" s="5" t="inlineStr">
        <x:is>
          <x:t xml:space="preserve">Medium</x:t>
        </x:is>
      </x:c>
      <x:c r="R325" s="5" t="inlineStr">
        <x:is>
          <x:t xml:space="preserve">Low</x:t>
        </x:is>
      </x:c>
      <x:c r="S325" s="5" t="inlineStr">
        <x:is>
          <x:t xml:space="preserve">Low</x:t>
        </x:is>
      </x:c>
      <x:c r="T325" s="5" t="inlineStr">
        <x:is>
          <x:t xml:space="preserve">ChatGPT with web; image/design tools later</x:t>
        </x:is>
      </x:c>
      <x:c r="U325" s="5" t="inlineStr">
        <x:is>
          <x:t xml:space="preserve">Medium</x:t>
        </x:is>
      </x:c>
      <x:c r="V325" s="10" t="n">
        <x:v>2</x:v>
      </x:c>
      <x:c r="W325" s="5" t="inlineStr">
        <x:is>
          <x:t xml:space="preserve">Design brief generation + feasibility review</x:t>
        </x:is>
      </x:c>
      <x:c r="X325" s="5" t="inlineStr">
        <x:is>
          <x:t xml:space="preserve">layout / shopping plan / phased upgrade roadmap</x:t>
        </x:is>
      </x:c>
      <x:c r="Y325" s="5" t="inlineStr">
        <x:is>
          <x:t xml:space="preserve">Design plan feels cohesive, practical, and matched to lifestyle goals.</x:t>
        </x:is>
      </x:c>
      <x:c r="Z325" s="5" t="inlineStr">
        <x:is>
          <x:t xml:space="preserve">Pretty but impractical suggestions, no budget logic, or weak taste alignment.</x:t>
        </x:is>
      </x:c>
      <x:c r="AA325" s="5" t="inlineStr">
        <x:is>
          <x:t xml:space="preserve">design preference memory / shopping integration / image workflow</x:t>
        </x:is>
      </x:c>
      <x:c r="AB325" s="5" t="inlineStr">
        <x:is>
          <x:t xml:space="preserve"/>
        </x:is>
      </x:c>
      <x:c r="AC325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25" s="5" t="inlineStr">
        <x:is>
          <x:t xml:space="preserve">ThinkLab 2025 design benchmark; Houzz 2025 AI in construction &amp; design; Canadian Contractor/Mattoboard survey 2025</x:t>
        </x:is>
      </x:c>
      <x:c r="AE325" s="11">
        <x:f>IF(O325="High",20,IF(O325="Medium",10,IF(O325="Low",5,0)))+IF(P325="High",20,IF(P325="Medium",10,IF(P325="Low",5,0)))+IF(Q325="High",20,IF(Q325="Medium",10,IF(Q325="Low",5,0)))+IF(R325="High",20,IF(R325="Medium",10,IF(R325="Low",5,0)))+IF(S325="High",20,IF(S325="Medium",10,IF(S325="Low",5,0)))</x:f>
        <x:v>50</x:v>
      </x:c>
      <x:c r="AF325" s="12">
        <x:f>ROUND(H325*0.30+J325*0.25+K325*0.20+(100-AE325)*0.10+(100-(V325*20))*0.15,0)</x:f>
        <x:v>49</x:v>
      </x:c>
      <x:c r="AG325" s="13" t="str">
        <x:f>IF(AF325&gt;=80,"Batch 1",IF(AF325&gt;=70,"Batch 2",IF(AF325&gt;=60,"Batch 3","Backlog")))</x:f>
        <x:v>Backlog</x:v>
      </x:c>
      <x:c r="AH325" t="inlineStr">
        <x:is>
          <x:t xml:space="preserve"/>
        </x:is>
      </x:c>
    </x:row>
    <x:row r="326">
      <x:c r="A326" s="5" t="inlineStr">
        <x:is>
          <x:t xml:space="preserve">GPO-PER-23</x:t>
        </x:is>
      </x:c>
      <x:c r="B326" s="5" t="n">
        <x:v>322</x:v>
      </x:c>
      <x:c r="C326" s="5" t="inlineStr">
        <x:is>
          <x:t xml:space="preserve">Personal Finance &amp; Investing</x:t>
        </x:is>
      </x:c>
      <x:c r="D326" s="5" t="inlineStr">
        <x:is>
          <x:t xml:space="preserve">Money</x:t>
        </x:is>
      </x:c>
      <x:c r="E326" s="5" t="inlineStr">
        <x:is>
          <x:t xml:space="preserve">Stretch 60</x:t>
        </x:is>
      </x:c>
      <x:c r="F326" s="5" t="n">
        <x:v>23</x:v>
      </x:c>
      <x:c r="G326" s="5" t="inlineStr">
        <x:is>
          <x:t xml:space="preserve">Recommend a rules-based system for when to invest, hold cash, or deploy toward a major goal.</x:t>
        </x:is>
      </x:c>
      <x:c r="H326" s="6" t="n">
        <x:v>38</x:v>
      </x:c>
      <x:c r="I326" s="6" t="n">
        <x:v>38</x:v>
      </x:c>
      <x:c r="J326" s="7" t="n">
        <x:v>56</x:v>
      </x:c>
      <x:c r="K326" s="7" t="n">
        <x:v>46</x:v>
      </x:c>
      <x:c r="L326" s="8" t="inlineStr">
        <x:is>
          <x:t xml:space="preserve">UNTESTED</x:t>
        </x:is>
      </x:c>
      <x:c r="M326" s="9" t="inlineStr">
        <x:is>
          <x:t xml:space="preserve">UNTESTED</x:t>
        </x:is>
      </x:c>
      <x:c r="N326" s="5" t="inlineStr">
        <x:is>
          <x:t xml:space="preserve">scenario modeling; budgeting; portfolio reasoning; decision framing</x:t>
        </x:is>
      </x:c>
      <x:c r="O326" s="5" t="inlineStr">
        <x:is>
          <x:t xml:space="preserve">Medium</x:t>
        </x:is>
      </x:c>
      <x:c r="P326" s="5" t="inlineStr">
        <x:is>
          <x:t xml:space="preserve">High</x:t>
        </x:is>
      </x:c>
      <x:c r="Q326" s="5" t="inlineStr">
        <x:is>
          <x:t xml:space="preserve">Medium</x:t>
        </x:is>
      </x:c>
      <x:c r="R326" s="5" t="inlineStr">
        <x:is>
          <x:t xml:space="preserve">Low</x:t>
        </x:is>
      </x:c>
      <x:c r="S326" s="5" t="inlineStr">
        <x:is>
          <x:t xml:space="preserve">Medium</x:t>
        </x:is>
      </x:c>
      <x:c r="T326" s="5" t="inlineStr">
        <x:is>
          <x:t xml:space="preserve">ChatGPT or Claude with spreadsheet support</x:t>
        </x:is>
      </x:c>
      <x:c r="U326" s="5" t="inlineStr">
        <x:is>
          <x:t xml:space="preserve">Hard</x:t>
        </x:is>
      </x:c>
      <x:c r="V326" s="10" t="n">
        <x:v>3</x:v>
      </x:c>
      <x:c r="W326" s="5" t="inlineStr">
        <x:is>
          <x:t xml:space="preserve">Scenario modeling + coherence review</x:t>
        </x:is>
      </x:c>
      <x:c r="X326" s="5" t="inlineStr">
        <x:is>
          <x:t xml:space="preserve">budget / model / plan / recommendation</x:t>
        </x:is>
      </x:c>
      <x:c r="Y326" s="5" t="inlineStr">
        <x:is>
          <x:t xml:space="preserve">Advice is numerically coherent, practical, and transparent about assumptions.</x:t>
        </x:is>
      </x:c>
      <x:c r="Z326" s="5" t="inlineStr">
        <x:is>
          <x:t xml:space="preserve">Bad math, missing assumptions, or overconfident investment guidance.</x:t>
        </x:is>
      </x:c>
      <x:c r="AA326" s="5" t="inlineStr">
        <x:is>
          <x:t xml:space="preserve">financial calculator / assumption schema / spreadsheet outputs</x:t>
        </x:is>
      </x:c>
      <x:c r="AB326" s="5" t="inlineStr">
        <x:is>
          <x:t xml:space="preserve"/>
        </x:is>
      </x:c>
      <x:c r="AC326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326" s="5" t="inlineStr">
        <x:is>
          <x:t xml:space="preserve">FNBO Financial Wellbeing Study 2025; NerdWallet/Harris Poll 2026; PlanAdviser 2026</x:t>
        </x:is>
      </x:c>
      <x:c r="AE326" s="11">
        <x:f>IF(O326="High",20,IF(O326="Medium",10,IF(O326="Low",5,0)))+IF(P326="High",20,IF(P326="Medium",10,IF(P326="Low",5,0)))+IF(Q326="High",20,IF(Q326="Medium",10,IF(Q326="Low",5,0)))+IF(R326="High",20,IF(R326="Medium",10,IF(R326="Low",5,0)))+IF(S326="High",20,IF(S326="Medium",10,IF(S326="Low",5,0)))</x:f>
        <x:v>55</x:v>
      </x:c>
      <x:c r="AF326" s="12">
        <x:f>ROUND(H326*0.30+J326*0.25+K326*0.20+(100-AE326)*0.10+(100-(V326*20))*0.15,0)</x:f>
        <x:v>45</x:v>
      </x:c>
      <x:c r="AG326" s="13" t="str">
        <x:f>IF(AF326&gt;=80,"Batch 1",IF(AF326&gt;=70,"Batch 2",IF(AF326&gt;=60,"Batch 3","Backlog")))</x:f>
        <x:v>Backlog</x:v>
      </x:c>
      <x:c r="AH326" t="inlineStr">
        <x:is>
          <x:t xml:space="preserve"/>
        </x:is>
      </x:c>
    </x:row>
    <x:row r="327">
      <x:c r="A327" s="5" t="inlineStr">
        <x:is>
          <x:t xml:space="preserve">GPO-HOM-22</x:t>
        </x:is>
      </x:c>
      <x:c r="B327" s="5" t="n">
        <x:v>323</x:v>
      </x:c>
      <x:c r="C327" s="5" t="inlineStr">
        <x:is>
          <x:t xml:space="preserve">Home &amp; Lifestyle Design</x:t>
        </x:is>
      </x:c>
      <x:c r="D327" s="5" t="inlineStr">
        <x:is>
          <x:t xml:space="preserve">Design</x:t>
        </x:is>
      </x:c>
      <x:c r="E327" s="5" t="inlineStr">
        <x:is>
          <x:t xml:space="preserve">Stretch 60</x:t>
        </x:is>
      </x:c>
      <x:c r="F327" s="5" t="n">
        <x:v>22</x:v>
      </x:c>
      <x:c r="G327" s="5" t="inlineStr">
        <x:is>
          <x:t xml:space="preserve">Build a room-by-room upgrade roadmap prioritized by impact, cost, and future flexibility.</x:t>
        </x:is>
      </x:c>
      <x:c r="H327" s="6" t="n">
        <x:v>38</x:v>
      </x:c>
      <x:c r="I327" s="6" t="n">
        <x:v>38</x:v>
      </x:c>
      <x:c r="J327" s="7" t="n">
        <x:v>55</x:v>
      </x:c>
      <x:c r="K327" s="7" t="n">
        <x:v>46</x:v>
      </x:c>
      <x:c r="L327" s="8" t="inlineStr">
        <x:is>
          <x:t xml:space="preserve">UNTESTED</x:t>
        </x:is>
      </x:c>
      <x:c r="M327" s="9" t="inlineStr">
        <x:is>
          <x:t xml:space="preserve">UNTESTED</x:t>
        </x:is>
      </x:c>
      <x:c r="N327" s="5" t="inlineStr">
        <x:is>
          <x:t xml:space="preserve">space planning; product curation; aesthetic reasoning; phased project planning</x:t>
        </x:is>
      </x:c>
      <x:c r="O327" s="5" t="inlineStr">
        <x:is>
          <x:t xml:space="preserve">Medium</x:t>
        </x:is>
      </x:c>
      <x:c r="P327" s="5" t="inlineStr">
        <x:is>
          <x:t xml:space="preserve">High</x:t>
        </x:is>
      </x:c>
      <x:c r="Q327" s="5" t="inlineStr">
        <x:is>
          <x:t xml:space="preserve">Medium</x:t>
        </x:is>
      </x:c>
      <x:c r="R327" s="5" t="inlineStr">
        <x:is>
          <x:t xml:space="preserve">Low</x:t>
        </x:is>
      </x:c>
      <x:c r="S327" s="5" t="inlineStr">
        <x:is>
          <x:t xml:space="preserve">Low</x:t>
        </x:is>
      </x:c>
      <x:c r="T327" s="5" t="inlineStr">
        <x:is>
          <x:t xml:space="preserve">ChatGPT with web; image/design tools later</x:t>
        </x:is>
      </x:c>
      <x:c r="U327" s="5" t="inlineStr">
        <x:is>
          <x:t xml:space="preserve">Hard</x:t>
        </x:is>
      </x:c>
      <x:c r="V327" s="10" t="n">
        <x:v>3</x:v>
      </x:c>
      <x:c r="W327" s="5" t="inlineStr">
        <x:is>
          <x:t xml:space="preserve">Design brief generation + feasibility review</x:t>
        </x:is>
      </x:c>
      <x:c r="X327" s="5" t="inlineStr">
        <x:is>
          <x:t xml:space="preserve">layout / shopping plan / phased upgrade roadmap</x:t>
        </x:is>
      </x:c>
      <x:c r="Y327" s="5" t="inlineStr">
        <x:is>
          <x:t xml:space="preserve">Design plan feels cohesive, practical, and matched to lifestyle goals.</x:t>
        </x:is>
      </x:c>
      <x:c r="Z327" s="5" t="inlineStr">
        <x:is>
          <x:t xml:space="preserve">Pretty but impractical suggestions, no budget logic, or weak taste alignment.</x:t>
        </x:is>
      </x:c>
      <x:c r="AA327" s="5" t="inlineStr">
        <x:is>
          <x:t xml:space="preserve">design preference memory / shopping integration / image workflow</x:t>
        </x:is>
      </x:c>
      <x:c r="AB327" s="5" t="inlineStr">
        <x:is>
          <x:t xml:space="preserve"/>
        </x:is>
      </x:c>
      <x:c r="AC327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27" s="5" t="inlineStr">
        <x:is>
          <x:t xml:space="preserve">ThinkLab 2025 design benchmark; Houzz 2025 AI in construction &amp; design; Canadian Contractor/Mattoboard survey 2025</x:t>
        </x:is>
      </x:c>
      <x:c r="AE327" s="11">
        <x:f>IF(O327="High",20,IF(O327="Medium",10,IF(O327="Low",5,0)))+IF(P327="High",20,IF(P327="Medium",10,IF(P327="Low",5,0)))+IF(Q327="High",20,IF(Q327="Medium",10,IF(Q327="Low",5,0)))+IF(R327="High",20,IF(R327="Medium",10,IF(R327="Low",5,0)))+IF(S327="High",20,IF(S327="Medium",10,IF(S327="Low",5,0)))</x:f>
        <x:v>50</x:v>
      </x:c>
      <x:c r="AF327" s="12">
        <x:f>ROUND(H327*0.30+J327*0.25+K327*0.20+(100-AE327)*0.10+(100-(V327*20))*0.15,0)</x:f>
        <x:v>45</x:v>
      </x:c>
      <x:c r="AG327" s="13" t="str">
        <x:f>IF(AF327&gt;=80,"Batch 1",IF(AF327&gt;=70,"Batch 2",IF(AF327&gt;=60,"Batch 3","Backlog")))</x:f>
        <x:v>Backlog</x:v>
      </x:c>
      <x:c r="AH327" t="inlineStr">
        <x:is>
          <x:t xml:space="preserve"/>
        </x:is>
      </x:c>
    </x:row>
    <x:row r="328">
      <x:c r="A328" s="5" t="inlineStr">
        <x:is>
          <x:t xml:space="preserve">GPO-MUS-14</x:t>
        </x:is>
      </x:c>
      <x:c r="B328" s="5" t="n">
        <x:v>324</x:v>
      </x:c>
      <x:c r="C328" s="5" t="inlineStr">
        <x:is>
          <x:t xml:space="preserve">Music &amp; Audio Creation</x:t>
        </x:is>
      </x:c>
      <x:c r="D328" s="5" t="inlineStr">
        <x:is>
          <x:t xml:space="preserve">Create</x:t>
        </x:is>
      </x:c>
      <x:c r="E328" s="5" t="inlineStr">
        <x:is>
          <x:t xml:space="preserve">Expansion 150</x:t>
        </x:is>
      </x:c>
      <x:c r="F328" s="5" t="n">
        <x:v>14</x:v>
      </x:c>
      <x:c r="G328" s="5" t="inlineStr">
        <x:is>
          <x:t xml:space="preserve">Help me create a soundtrack palette for my film or brand.</x:t>
        </x:is>
      </x:c>
      <x:c r="H328" s="6" t="n">
        <x:v>38</x:v>
      </x:c>
      <x:c r="I328" s="6" t="n">
        <x:v>38</x:v>
      </x:c>
      <x:c r="J328" s="7" t="n">
        <x:v>55</x:v>
      </x:c>
      <x:c r="K328" s="7" t="n">
        <x:v>46</x:v>
      </x:c>
      <x:c r="L328" s="8" t="inlineStr">
        <x:is>
          <x:t xml:space="preserve">UNTESTED</x:t>
        </x:is>
      </x:c>
      <x:c r="M328" s="9" t="inlineStr">
        <x:is>
          <x:t xml:space="preserve">UNTESTED</x:t>
        </x:is>
      </x:c>
      <x:c r="N328" s="5" t="inlineStr">
        <x:is>
          <x:t xml:space="preserve">theory help; composition support; practice coaching; audio workflow planning</x:t>
        </x:is>
      </x:c>
      <x:c r="O328" s="5" t="inlineStr">
        <x:is>
          <x:t xml:space="preserve">Low</x:t>
        </x:is>
      </x:c>
      <x:c r="P328" s="5" t="inlineStr">
        <x:is>
          <x:t xml:space="preserve">Medium</x:t>
        </x:is>
      </x:c>
      <x:c r="Q328" s="5" t="inlineStr">
        <x:is>
          <x:t xml:space="preserve">Medium</x:t>
        </x:is>
      </x:c>
      <x:c r="R328" s="5" t="inlineStr">
        <x:is>
          <x:t xml:space="preserve">Low</x:t>
        </x:is>
      </x:c>
      <x:c r="S328" s="5" t="inlineStr">
        <x:is>
          <x:t xml:space="preserve">Medium</x:t>
        </x:is>
      </x:c>
      <x:c r="T328" s="5" t="inlineStr">
        <x:is>
          <x:t xml:space="preserve">ChatGPT/Claude planning + external music tools</x:t>
        </x:is>
      </x:c>
      <x:c r="U328" s="5" t="inlineStr">
        <x:is>
          <x:t xml:space="preserve">Medium</x:t>
        </x:is>
      </x:c>
      <x:c r="V328" s="10" t="n">
        <x:v>2</x:v>
      </x:c>
      <x:c r="W328" s="5" t="inlineStr">
        <x:is>
          <x:t xml:space="preserve">Creative coaching + workflow review</x:t>
        </x:is>
      </x:c>
      <x:c r="X328" s="5" t="inlineStr">
        <x:is>
          <x:t xml:space="preserve">practice plan / composition guide / arrangement brief</x:t>
        </x:is>
      </x:c>
      <x:c r="Y328" s="5" t="inlineStr">
        <x:is>
          <x:t xml:space="preserve">Output helps create or learn music in a concrete, musically coherent way.</x:t>
        </x:is>
      </x:c>
      <x:c r="Z328" s="5" t="inlineStr">
        <x:is>
          <x:t xml:space="preserve">Musically weak suggestions, generic advice, or no usable next step.</x:t>
        </x:is>
      </x:c>
      <x:c r="AA328" s="5" t="inlineStr">
        <x:is>
          <x:t xml:space="preserve">music mode / external tool routing / structured lesson outputs</x:t>
        </x:is>
      </x:c>
      <x:c r="AB328" s="5" t="inlineStr">
        <x:is>
          <x:t xml:space="preserve"/>
        </x:is>
      </x:c>
      <x:c r="AC328" s="5" t="inlineStr">
        <x:is>
          <x:t xml:space="preserve">Music-maker surveys show strong AI usage in parts of workflow, but full-song generation is less appealing; consumer trust remains mixed.</x:t>
        </x:is>
      </x:c>
      <x:c r="AD328" s="5" t="inlineStr">
        <x:is>
          <x:t xml:space="preserve">LANDR study 2025; PRS for Music 2026; Bain media survey 2025</x:t>
        </x:is>
      </x:c>
      <x:c r="AE328" s="11">
        <x:f>IF(O328="High",20,IF(O328="Medium",10,IF(O328="Low",5,0)))+IF(P328="High",20,IF(P328="Medium",10,IF(P328="Low",5,0)))+IF(Q328="High",20,IF(Q328="Medium",10,IF(Q328="Low",5,0)))+IF(R328="High",20,IF(R328="Medium",10,IF(R328="Low",5,0)))+IF(S328="High",20,IF(S328="Medium",10,IF(S328="Low",5,0)))</x:f>
        <x:v>40</x:v>
      </x:c>
      <x:c r="AF328" s="12">
        <x:f>ROUND(H328*0.30+J328*0.25+K328*0.20+(100-AE328)*0.10+(100-(V328*20))*0.15,0)</x:f>
        <x:v>49</x:v>
      </x:c>
      <x:c r="AG328" s="13" t="str">
        <x:f>IF(AF328&gt;=80,"Batch 1",IF(AF328&gt;=70,"Batch 2",IF(AF328&gt;=60,"Batch 3","Backlog")))</x:f>
        <x:v>Backlog</x:v>
      </x:c>
      <x:c r="AH328" t="inlineStr">
        <x:is>
          <x:t xml:space="preserve"/>
        </x:is>
      </x:c>
    </x:row>
    <x:row r="329">
      <x:c r="A329" s="5" t="inlineStr">
        <x:is>
          <x:t xml:space="preserve">GPO-SCR-23</x:t>
        </x:is>
      </x:c>
      <x:c r="B329" s="5" t="n">
        <x:v>325</x:v>
      </x:c>
      <x:c r="C329" s="5" t="inlineStr">
        <x:is>
          <x:t xml:space="preserve">Screenwriting &amp; Story Development</x:t>
        </x:is>
      </x:c>
      <x:c r="D329" s="5" t="inlineStr">
        <x:is>
          <x:t xml:space="preserve">Create</x:t>
        </x:is>
      </x:c>
      <x:c r="E329" s="5" t="inlineStr">
        <x:is>
          <x:t xml:space="preserve">Stretch 60</x:t>
        </x:is>
      </x:c>
      <x:c r="F329" s="5" t="n">
        <x:v>23</x:v>
      </x:c>
      <x:c r="G329" s="5" t="inlineStr">
        <x:is>
          <x:t xml:space="preserve">Create a season bible with arcs, conflicts, themes, and tonal rules.</x:t>
        </x:is>
      </x:c>
      <x:c r="H329" s="6" t="n">
        <x:v>38</x:v>
      </x:c>
      <x:c r="I329" s="6" t="n">
        <x:v>38</x:v>
      </x:c>
      <x:c r="J329" s="7" t="n">
        <x:v>55</x:v>
      </x:c>
      <x:c r="K329" s="7" t="n">
        <x:v>46</x:v>
      </x:c>
      <x:c r="L329" s="8" t="inlineStr">
        <x:is>
          <x:t xml:space="preserve">UNTESTED</x:t>
        </x:is>
      </x:c>
      <x:c r="M329" s="9" t="inlineStr">
        <x:is>
          <x:t xml:space="preserve">UNTESTED</x:t>
        </x:is>
      </x:c>
      <x:c r="N329" s="5" t="inlineStr">
        <x:is>
          <x:t xml:space="preserve">creative ideation; story structure; tone control; character design</x:t>
        </x:is>
      </x:c>
      <x:c r="O329" s="5" t="inlineStr">
        <x:is>
          <x:t xml:space="preserve">Low</x:t>
        </x:is>
      </x:c>
      <x:c r="P329" s="5" t="inlineStr">
        <x:is>
          <x:t xml:space="preserve">Medium</x:t>
        </x:is>
      </x:c>
      <x:c r="Q329" s="5" t="inlineStr">
        <x:is>
          <x:t xml:space="preserve">Low</x:t>
        </x:is>
      </x:c>
      <x:c r="R329" s="5" t="inlineStr">
        <x:is>
          <x:t xml:space="preserve">Low</x:t>
        </x:is>
      </x:c>
      <x:c r="S329" s="5" t="inlineStr">
        <x:is>
          <x:t xml:space="preserve">Low</x:t>
        </x:is>
      </x:c>
      <x:c r="T329" s="5" t="inlineStr">
        <x:is>
          <x:t xml:space="preserve">ChatGPT or Claude creative mode</x:t>
        </x:is>
      </x:c>
      <x:c r="U329" s="5" t="inlineStr">
        <x:is>
          <x:t xml:space="preserve">Hard</x:t>
        </x:is>
      </x:c>
      <x:c r="V329" s="10" t="n">
        <x:v>3</x:v>
      </x:c>
      <x:c r="W329" s="5" t="inlineStr">
        <x:is>
          <x:t xml:space="preserve">Creative prompt run + human taste review</x:t>
        </x:is>
      </x:c>
      <x:c r="X329" s="5" t="inlineStr">
        <x:is>
          <x:t xml:space="preserve">logline / outline / scene rewrite / treatment</x:t>
        </x:is>
      </x:c>
      <x:c r="Y329" s="5" t="inlineStr">
        <x:is>
          <x:t xml:space="preserve">Story work feels coherent, original, and emotionally alive.</x:t>
        </x:is>
      </x:c>
      <x:c r="Z329" s="5" t="inlineStr">
        <x:is>
          <x:t xml:space="preserve">Cliche ideas, flat dialogue, weak stakes, or no tonal discipline.</x:t>
        </x:is>
      </x:c>
      <x:c r="AA329" s="5" t="inlineStr">
        <x:is>
          <x:t xml:space="preserve">creative mode / style packs / development workflow</x:t>
        </x:is>
      </x:c>
      <x:c r="AB329" s="5" t="inlineStr">
        <x:is>
          <x:t xml:space="preserve"/>
        </x:is>
      </x:c>
      <x:c r="AC329" s="5" t="inlineStr">
        <x:is>
          <x:t xml:space="preserve">OpenAI practical guidance includes creative ideation; creator surveys show broad use of generative AI in creative workflows.</x:t>
        </x:is>
      </x:c>
      <x:c r="AD329" s="5" t="inlineStr">
        <x:is>
          <x:t xml:space="preserve">OpenAI How People Use ChatGPT paper; Adobe creators survey 2025; Wondercraft/Digiday creator workflow survey 2025</x:t>
        </x:is>
      </x:c>
      <x:c r="AE329" s="11">
        <x:f>IF(O329="High",20,IF(O329="Medium",10,IF(O329="Low",5,0)))+IF(P329="High",20,IF(P329="Medium",10,IF(P329="Low",5,0)))+IF(Q329="High",20,IF(Q329="Medium",10,IF(Q329="Low",5,0)))+IF(R329="High",20,IF(R329="Medium",10,IF(R329="Low",5,0)))+IF(S329="High",20,IF(S329="Medium",10,IF(S329="Low",5,0)))</x:f>
        <x:v>30</x:v>
      </x:c>
      <x:c r="AF329" s="12">
        <x:f>ROUND(H329*0.30+J329*0.25+K329*0.20+(100-AE329)*0.10+(100-(V329*20))*0.15,0)</x:f>
        <x:v>47</x:v>
      </x:c>
      <x:c r="AG329" s="13" t="str">
        <x:f>IF(AF329&gt;=80,"Batch 1",IF(AF329&gt;=70,"Batch 2",IF(AF329&gt;=60,"Batch 3","Backlog")))</x:f>
        <x:v>Backlog</x:v>
      </x:c>
      <x:c r="AH329" t="inlineStr">
        <x:is>
          <x:t xml:space="preserve"/>
        </x:is>
      </x:c>
    </x:row>
    <x:row r="330">
      <x:c r="A330" s="5" t="inlineStr">
        <x:is>
          <x:t xml:space="preserve">GPO-STA-24</x:t>
        </x:is>
      </x:c>
      <x:c r="B330" s="5" t="n">
        <x:v>326</x:v>
      </x:c>
      <x:c r="C330" s="5" t="inlineStr">
        <x:is>
          <x:t xml:space="preserve">Startup &amp; Business Builder</x:t>
        </x:is>
      </x:c>
      <x:c r="D330" s="5" t="inlineStr">
        <x:is>
          <x:t xml:space="preserve">Build</x:t>
        </x:is>
      </x:c>
      <x:c r="E330" s="5" t="inlineStr">
        <x:is>
          <x:t xml:space="preserve">Stretch 60</x:t>
        </x:is>
      </x:c>
      <x:c r="F330" s="5" t="n">
        <x:v>24</x:v>
      </x:c>
      <x:c r="G330" s="5" t="inlineStr">
        <x:is>
          <x:t xml:space="preserve">Design a one-person-to-small-team operating model for shipping GPO fast without chaos.</x:t>
        </x:is>
      </x:c>
      <x:c r="H330" s="6" t="n">
        <x:v>38</x:v>
      </x:c>
      <x:c r="I330" s="6" t="n">
        <x:v>38</x:v>
      </x:c>
      <x:c r="J330" s="7" t="n">
        <x:v>55</x:v>
      </x:c>
      <x:c r="K330" s="7" t="n">
        <x:v>46</x:v>
      </x:c>
      <x:c r="L330" s="8" t="inlineStr">
        <x:is>
          <x:t xml:space="preserve">UNTESTED</x:t>
        </x:is>
      </x:c>
      <x:c r="M330" s="9" t="inlineStr">
        <x:is>
          <x:t xml:space="preserve">UNTESTED</x:t>
        </x:is>
      </x:c>
      <x:c r="N330" s="5" t="inlineStr">
        <x:is>
          <x:t xml:space="preserve">strategy; product thinking; GTM reasoning; structured planning</x:t>
        </x:is>
      </x:c>
      <x:c r="O330" s="5" t="inlineStr">
        <x:is>
          <x:t xml:space="preserve">Medium</x:t>
        </x:is>
      </x:c>
      <x:c r="P330" s="5" t="inlineStr">
        <x:is>
          <x:t xml:space="preserve">High</x:t>
        </x:is>
      </x:c>
      <x:c r="Q330" s="5" t="inlineStr">
        <x:is>
          <x:t xml:space="preserve">Low</x:t>
        </x:is>
      </x:c>
      <x:c r="R330" s="5" t="inlineStr">
        <x:is>
          <x:t xml:space="preserve">Medium</x:t>
        </x:is>
      </x:c>
      <x:c r="S330" s="5" t="inlineStr">
        <x:is>
          <x:t xml:space="preserve">Low</x:t>
        </x:is>
      </x:c>
      <x:c r="T330" s="5" t="inlineStr">
        <x:is>
          <x:t xml:space="preserve">Claude + ChatGPT combo</x:t>
        </x:is>
      </x:c>
      <x:c r="U330" s="5" t="inlineStr">
        <x:is>
          <x:t xml:space="preserve">Hard</x:t>
        </x:is>
      </x:c>
      <x:c r="V330" s="10" t="n">
        <x:v>3</x:v>
      </x:c>
      <x:c r="W330" s="5" t="inlineStr">
        <x:is>
          <x:t xml:space="preserve">Plan generation + critique + strategic review</x:t>
        </x:is>
      </x:c>
      <x:c r="X330" s="5" t="inlineStr">
        <x:is>
          <x:t xml:space="preserve">roadmap / GTM plan / business memo</x:t>
        </x:is>
      </x:c>
      <x:c r="Y330" s="5" t="inlineStr">
        <x:is>
          <x:t xml:space="preserve">Recommendation is strategically sharp, prioritized, and grounded in market reality.</x:t>
        </x:is>
      </x:c>
      <x:c r="Z330" s="5" t="inlineStr">
        <x:is>
          <x:t xml:space="preserve">Buzzwordy output, no wedge, weak prioritization, or unearned confidence.</x:t>
        </x:is>
      </x:c>
      <x:c r="AA330" s="5" t="inlineStr">
        <x:is>
          <x:t xml:space="preserve">strategy templates / board logic / critique loop</x:t>
        </x:is>
      </x:c>
      <x:c r="AB330" s="5" t="inlineStr">
        <x:is>
          <x:t xml:space="preserve"/>
        </x:is>
      </x:c>
      <x:c r="AC330" s="5" t="inlineStr">
        <x:is>
          <x:t xml:space="preserve">OpenAI categories include practical guidance and writing; Menlo consumer AI highlights productivity and research behaviors; startup users heavily use AI for ideation and execution.</x:t>
        </x:is>
      </x:c>
      <x:c r="AD330" s="5" t="inlineStr">
        <x:is>
          <x:t xml:space="preserve">OpenAI How People Use ChatGPT paper; Menlo State of Consumer AI 2025; Menlo AI UI Problem 2025</x:t>
        </x:is>
      </x:c>
      <x:c r="AE330" s="11">
        <x:f>IF(O330="High",20,IF(O330="Medium",10,IF(O330="Low",5,0)))+IF(P330="High",20,IF(P330="Medium",10,IF(P330="Low",5,0)))+IF(Q330="High",20,IF(Q330="Medium",10,IF(Q330="Low",5,0)))+IF(R330="High",20,IF(R330="Medium",10,IF(R330="Low",5,0)))+IF(S330="High",20,IF(S330="Medium",10,IF(S330="Low",5,0)))</x:f>
        <x:v>50</x:v>
      </x:c>
      <x:c r="AF330" s="12">
        <x:f>ROUND(H330*0.30+J330*0.25+K330*0.20+(100-AE330)*0.10+(100-(V330*20))*0.15,0)</x:f>
        <x:v>45</x:v>
      </x:c>
      <x:c r="AG330" s="13" t="str">
        <x:f>IF(AF330&gt;=80,"Batch 1",IF(AF330&gt;=70,"Batch 2",IF(AF330&gt;=60,"Batch 3","Backlog")))</x:f>
        <x:v>Backlog</x:v>
      </x:c>
      <x:c r="AH330" t="inlineStr">
        <x:is>
          <x:t xml:space="preserve"/>
        </x:is>
      </x:c>
    </x:row>
    <x:row r="331">
      <x:c r="A331" s="5" t="inlineStr">
        <x:is>
          <x:t xml:space="preserve">GPO-FIL-13</x:t>
        </x:is>
      </x:c>
      <x:c r="B331" s="5" t="n">
        <x:v>327</x:v>
      </x:c>
      <x:c r="C331" s="5" t="inlineStr">
        <x:is>
          <x:t xml:space="preserve">Filmmaking &amp; Video Production</x:t>
        </x:is>
      </x:c>
      <x:c r="D331" s="5" t="inlineStr">
        <x:is>
          <x:t xml:space="preserve">Create</x:t>
        </x:is>
      </x:c>
      <x:c r="E331" s="5" t="inlineStr">
        <x:is>
          <x:t xml:space="preserve">Expansion 150</x:t>
        </x:is>
      </x:c>
      <x:c r="F331" s="5" t="n">
        <x:v>13</x:v>
      </x:c>
      <x:c r="G331" s="5" t="inlineStr">
        <x:is>
          <x:t xml:space="preserve">Create a realistic schedule and asset list for making this short film.</x:t>
        </x:is>
      </x:c>
      <x:c r="H331" s="6" t="n">
        <x:v>43</x:v>
      </x:c>
      <x:c r="I331" s="6" t="n">
        <x:v>43</x:v>
      </x:c>
      <x:c r="J331" s="7" t="n">
        <x:v>48</x:v>
      </x:c>
      <x:c r="K331" s="7" t="n">
        <x:v>45</x:v>
      </x:c>
      <x:c r="L331" s="8" t="inlineStr">
        <x:is>
          <x:t xml:space="preserve">UNTESTED</x:t>
        </x:is>
      </x:c>
      <x:c r="M331" s="9" t="inlineStr">
        <x:is>
          <x:t xml:space="preserve">UNTESTED</x:t>
        </x:is>
      </x:c>
      <x:c r="N331" s="5" t="inlineStr">
        <x:is>
          <x:t xml:space="preserve">shot planning; multimodal coordination; tool routing; production workflow</x:t>
        </x:is>
      </x:c>
      <x:c r="O331" s="5" t="inlineStr">
        <x:is>
          <x:t xml:space="preserve">Low</x:t>
        </x:is>
      </x:c>
      <x:c r="P331" s="5" t="inlineStr">
        <x:is>
          <x:t xml:space="preserve">Medium</x:t>
        </x:is>
      </x:c>
      <x:c r="Q331" s="5" t="inlineStr">
        <x:is>
          <x:t xml:space="preserve">High</x:t>
        </x:is>
      </x:c>
      <x:c r="R331" s="5" t="inlineStr">
        <x:is>
          <x:t xml:space="preserve">High</x:t>
        </x:is>
      </x:c>
      <x:c r="S331" s="5" t="inlineStr">
        <x:is>
          <x:t xml:space="preserve">Medium</x:t>
        </x:is>
      </x:c>
      <x:c r="T331" s="5" t="inlineStr">
        <x:is>
          <x:t xml:space="preserve">Claude planning + external video/image tools</x:t>
        </x:is>
      </x:c>
      <x:c r="U331" s="5" t="inlineStr">
        <x:is>
          <x:t xml:space="preserve">Hard</x:t>
        </x:is>
      </x:c>
      <x:c r="V331" s="10" t="n">
        <x:v>3</x:v>
      </x:c>
      <x:c r="W331" s="5" t="inlineStr">
        <x:is>
          <x:t xml:space="preserve">Workflow plan + asset chain review</x:t>
        </x:is>
      </x:c>
      <x:c r="X331" s="5" t="inlineStr">
        <x:is>
          <x:t xml:space="preserve">shot list / storyboard / production workflow / tool stack recommendation</x:t>
        </x:is>
      </x:c>
      <x:c r="Y331" s="5" t="inlineStr">
        <x:is>
          <x:t xml:space="preserve">Workflow is executable with current tools and preserves consistency across assets.</x:t>
        </x:is>
      </x:c>
      <x:c r="Z331" s="5" t="inlineStr">
        <x:is>
          <x:t xml:space="preserve">Ignores tool limits, no consistency strategy, or vague production logic.</x:t>
        </x:is>
      </x:c>
      <x:c r="AA331" s="5" t="inlineStr">
        <x:is>
          <x:t xml:space="preserve">multimodal orchestration / provider routing / asset schema</x:t>
        </x:is>
      </x:c>
      <x:c r="AB331" s="5" t="inlineStr">
        <x:is>
          <x:t xml:space="preserve"/>
        </x:is>
      </x:c>
      <x:c r="AC331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31" s="5" t="inlineStr">
        <x:is>
          <x:t xml:space="preserve">Wondercraft/Digiday creator workflow survey 2025; Artificial Analysis generative media survey 2025; Reuters/Canal+ 2026</x:t>
        </x:is>
      </x:c>
      <x:c r="AE331" s="11">
        <x:f>IF(O331="High",20,IF(O331="Medium",10,IF(O331="Low",5,0)))+IF(P331="High",20,IF(P331="Medium",10,IF(P331="Low",5,0)))+IF(Q331="High",20,IF(Q331="Medium",10,IF(Q331="Low",5,0)))+IF(R331="High",20,IF(R331="Medium",10,IF(R331="Low",5,0)))+IF(S331="High",20,IF(S331="Medium",10,IF(S331="Low",5,0)))</x:f>
        <x:v>65</x:v>
      </x:c>
      <x:c r="AF331" s="12">
        <x:f>ROUND(H331*0.30+J331*0.25+K331*0.20+(100-AE331)*0.10+(100-(V331*20))*0.15,0)</x:f>
        <x:v>43</x:v>
      </x:c>
      <x:c r="AG331" s="13" t="str">
        <x:f>IF(AF331&gt;=80,"Batch 1",IF(AF331&gt;=70,"Batch 2",IF(AF331&gt;=60,"Batch 3","Backlog")))</x:f>
        <x:v>Backlog</x:v>
      </x:c>
      <x:c r="AH331" t="inlineStr">
        <x:is>
          <x:t xml:space="preserve"/>
        </x:is>
      </x:c>
    </x:row>
    <x:row r="332">
      <x:c r="A332" s="5" t="inlineStr">
        <x:is>
          <x:t xml:space="preserve">GPO-HEA-21</x:t>
        </x:is>
      </x:c>
      <x:c r="B332" s="5" t="n">
        <x:v>328</x:v>
      </x:c>
      <x:c r="C332" s="5" t="inlineStr">
        <x:is>
          <x:t xml:space="preserve">Health &amp; Wellness Coach</x:t>
        </x:is>
      </x:c>
      <x:c r="D332" s="5" t="inlineStr">
        <x:is>
          <x:t xml:space="preserve">Care</x:t>
        </x:is>
      </x:c>
      <x:c r="E332" s="5" t="inlineStr">
        <x:is>
          <x:t xml:space="preserve">Stretch 60</x:t>
        </x:is>
      </x:c>
      <x:c r="F332" s="5" t="n">
        <x:v>21</x:v>
      </x:c>
      <x:c r="G332" s="5" t="inlineStr">
        <x:is>
          <x:t xml:space="preserve">Build a health-behavior change plan that adapts when motivation crashes.</x:t>
        </x:is>
      </x:c>
      <x:c r="H332" s="6" t="n">
        <x:v>44</x:v>
      </x:c>
      <x:c r="I332" s="6" t="n">
        <x:v>44</x:v>
      </x:c>
      <x:c r="J332" s="7" t="n">
        <x:v>46</x:v>
      </x:c>
      <x:c r="K332" s="7" t="n">
        <x:v>45</x:v>
      </x:c>
      <x:c r="L332" s="8" t="inlineStr">
        <x:is>
          <x:t xml:space="preserve">UNTESTED</x:t>
        </x:is>
      </x:c>
      <x:c r="M332" s="9" t="inlineStr">
        <x:is>
          <x:t xml:space="preserve">UNTESTED</x:t>
        </x:is>
      </x:c>
      <x:c r="N332" s="5" t="inlineStr">
        <x:is>
          <x:t xml:space="preserve">health explanation; risk framing; behavior coaching; careful disclaimer handling</x:t>
        </x:is>
      </x:c>
      <x:c r="O332" s="5" t="inlineStr">
        <x:is>
          <x:t xml:space="preserve">Medium</x:t>
        </x:is>
      </x:c>
      <x:c r="P332" s="5" t="inlineStr">
        <x:is>
          <x:t xml:space="preserve">High</x:t>
        </x:is>
      </x:c>
      <x:c r="Q332" s="5" t="inlineStr">
        <x:is>
          <x:t xml:space="preserve">Low</x:t>
        </x:is>
      </x:c>
      <x:c r="R332" s="5" t="inlineStr">
        <x:is>
          <x:t xml:space="preserve">Low</x:t>
        </x:is>
      </x:c>
      <x:c r="S332" s="5" t="inlineStr">
        <x:is>
          <x:t xml:space="preserve">Medium</x:t>
        </x:is>
      </x:c>
      <x:c r="T332" s="5" t="inlineStr">
        <x:is>
          <x:t xml:space="preserve">ChatGPT primary with careful guardrails</x:t>
        </x:is>
      </x:c>
      <x:c r="U332" s="5" t="inlineStr">
        <x:is>
          <x:t xml:space="preserve">Hard</x:t>
        </x:is>
      </x:c>
      <x:c r="V332" s="10" t="n">
        <x:v>3</x:v>
      </x:c>
      <x:c r="W332" s="5" t="inlineStr">
        <x:is>
          <x:t xml:space="preserve">Scenario prompts + safety review + usefulness review</x:t>
        </x:is>
      </x:c>
      <x:c r="X332" s="5" t="inlineStr">
        <x:is>
          <x:t xml:space="preserve">plan / explanation / checklist / prep brief</x:t>
        </x:is>
      </x:c>
      <x:c r="Y332" s="5" t="inlineStr">
        <x:is>
          <x:t xml:space="preserve">Useful, cautious, practical guidance that stays within safe boundaries.</x:t>
        </x:is>
      </x:c>
      <x:c r="Z332" s="5" t="inlineStr">
        <x:is>
          <x:t xml:space="preserve">Overconfident medical claims, weak escalation guidance, or unsafe advice.</x:t>
        </x:is>
      </x:c>
      <x:c r="AA332" s="5" t="inlineStr">
        <x:is>
          <x:t xml:space="preserve">safety layer / health mode / evidence grounding</x:t>
        </x:is>
      </x:c>
      <x:c r="AB332" s="5" t="inlineStr">
        <x:is>
          <x:t xml:space="preserve"/>
        </x:is>
      </x:c>
      <x:c r="AC332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32" s="5" t="inlineStr">
        <x:is>
          <x:t xml:space="preserve">OpenAI Introducing GPT-5; APPC 2025 health survey; Deloitte Connected Consumer 2025</x:t>
        </x:is>
      </x:c>
      <x:c r="AE332" s="11">
        <x:f>IF(O332="High",20,IF(O332="Medium",10,IF(O332="Low",5,0)))+IF(P332="High",20,IF(P332="Medium",10,IF(P332="Low",5,0)))+IF(Q332="High",20,IF(Q332="Medium",10,IF(Q332="Low",5,0)))+IF(R332="High",20,IF(R332="Medium",10,IF(R332="Low",5,0)))+IF(S332="High",20,IF(S332="Medium",10,IF(S332="Low",5,0)))</x:f>
        <x:v>50</x:v>
      </x:c>
      <x:c r="AF332" s="12">
        <x:f>ROUND(H332*0.30+J332*0.25+K332*0.20+(100-AE332)*0.10+(100-(V332*20))*0.15,0)</x:f>
        <x:v>45</x:v>
      </x:c>
      <x:c r="AG332" s="13" t="str">
        <x:f>IF(AF332&gt;=80,"Batch 1",IF(AF332&gt;=70,"Batch 2",IF(AF332&gt;=60,"Batch 3","Backlog")))</x:f>
        <x:v>Backlog</x:v>
      </x:c>
      <x:c r="AH332" t="inlineStr">
        <x:is>
          <x:t xml:space="preserve"/>
        </x:is>
      </x:c>
    </x:row>
    <x:row r="333">
      <x:c r="A333" s="5" t="inlineStr">
        <x:is>
          <x:t xml:space="preserve">GPO-HOM-17</x:t>
        </x:is>
      </x:c>
      <x:c r="B333" s="5" t="n">
        <x:v>329</x:v>
      </x:c>
      <x:c r="C333" s="5" t="inlineStr">
        <x:is>
          <x:t xml:space="preserve">Home &amp; Lifestyle Design</x:t>
        </x:is>
      </x:c>
      <x:c r="D333" s="5" t="inlineStr">
        <x:is>
          <x:t xml:space="preserve">Design</x:t>
        </x:is>
      </x:c>
      <x:c r="E333" s="5" t="inlineStr">
        <x:is>
          <x:t xml:space="preserve">Expansion 150</x:t>
        </x:is>
      </x:c>
      <x:c r="F333" s="5" t="n">
        <x:v>17</x:v>
      </x:c>
      <x:c r="G333" s="5" t="inlineStr">
        <x:is>
          <x:t xml:space="preserve">Evaluate this interior design idea for practicality, maintenance, and cost.</x:t>
        </x:is>
      </x:c>
      <x:c r="H333" s="6" t="n">
        <x:v>33</x:v>
      </x:c>
      <x:c r="I333" s="6" t="n">
        <x:v>33</x:v>
      </x:c>
      <x:c r="J333" s="7" t="n">
        <x:v>61</x:v>
      </x:c>
      <x:c r="K333" s="7" t="n">
        <x:v>46</x:v>
      </x:c>
      <x:c r="L333" s="8" t="inlineStr">
        <x:is>
          <x:t xml:space="preserve">UNTESTED</x:t>
        </x:is>
      </x:c>
      <x:c r="M333" s="9" t="inlineStr">
        <x:is>
          <x:t xml:space="preserve">UNTESTED</x:t>
        </x:is>
      </x:c>
      <x:c r="N333" s="5" t="inlineStr">
        <x:is>
          <x:t xml:space="preserve">space planning; product curation; aesthetic reasoning; phased project planning</x:t>
        </x:is>
      </x:c>
      <x:c r="O333" s="5" t="inlineStr">
        <x:is>
          <x:t xml:space="preserve">Medium</x:t>
        </x:is>
      </x:c>
      <x:c r="P333" s="5" t="inlineStr">
        <x:is>
          <x:t xml:space="preserve">High</x:t>
        </x:is>
      </x:c>
      <x:c r="Q333" s="5" t="inlineStr">
        <x:is>
          <x:t xml:space="preserve">Medium</x:t>
        </x:is>
      </x:c>
      <x:c r="R333" s="5" t="inlineStr">
        <x:is>
          <x:t xml:space="preserve">Low</x:t>
        </x:is>
      </x:c>
      <x:c r="S333" s="5" t="inlineStr">
        <x:is>
          <x:t xml:space="preserve">Low</x:t>
        </x:is>
      </x:c>
      <x:c r="T333" s="5" t="inlineStr">
        <x:is>
          <x:t xml:space="preserve">ChatGPT with web; image/design tools later</x:t>
        </x:is>
      </x:c>
      <x:c r="U333" s="5" t="inlineStr">
        <x:is>
          <x:t xml:space="preserve">Medium</x:t>
        </x:is>
      </x:c>
      <x:c r="V333" s="10" t="n">
        <x:v>2</x:v>
      </x:c>
      <x:c r="W333" s="5" t="inlineStr">
        <x:is>
          <x:t xml:space="preserve">Design brief generation + feasibility review</x:t>
        </x:is>
      </x:c>
      <x:c r="X333" s="5" t="inlineStr">
        <x:is>
          <x:t xml:space="preserve">layout / shopping plan / phased upgrade roadmap</x:t>
        </x:is>
      </x:c>
      <x:c r="Y333" s="5" t="inlineStr">
        <x:is>
          <x:t xml:space="preserve">Design plan feels cohesive, practical, and matched to lifestyle goals.</x:t>
        </x:is>
      </x:c>
      <x:c r="Z333" s="5" t="inlineStr">
        <x:is>
          <x:t xml:space="preserve">Pretty but impractical suggestions, no budget logic, or weak taste alignment.</x:t>
        </x:is>
      </x:c>
      <x:c r="AA333" s="5" t="inlineStr">
        <x:is>
          <x:t xml:space="preserve">design preference memory / shopping integration / image workflow</x:t>
        </x:is>
      </x:c>
      <x:c r="AB333" s="5" t="inlineStr">
        <x:is>
          <x:t xml:space="preserve"/>
        </x:is>
      </x:c>
      <x:c r="AC33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33" s="5" t="inlineStr">
        <x:is>
          <x:t xml:space="preserve">ThinkLab 2025 design benchmark; Houzz 2025 AI in construction &amp; design; Canadian Contractor/Mattoboard survey 2025</x:t>
        </x:is>
      </x:c>
      <x:c r="AE333" s="11">
        <x:f>IF(O333="High",20,IF(O333="Medium",10,IF(O333="Low",5,0)))+IF(P333="High",20,IF(P333="Medium",10,IF(P333="Low",5,0)))+IF(Q333="High",20,IF(Q333="Medium",10,IF(Q333="Low",5,0)))+IF(R333="High",20,IF(R333="Medium",10,IF(R333="Low",5,0)))+IF(S333="High",20,IF(S333="Medium",10,IF(S333="Low",5,0)))</x:f>
        <x:v>50</x:v>
      </x:c>
      <x:c r="AF333" s="12">
        <x:f>ROUND(H333*0.30+J333*0.25+K333*0.20+(100-AE333)*0.10+(100-(V333*20))*0.15,0)</x:f>
        <x:v>48</x:v>
      </x:c>
      <x:c r="AG333" s="13" t="str">
        <x:f>IF(AF333&gt;=80,"Batch 1",IF(AF333&gt;=70,"Batch 2",IF(AF333&gt;=60,"Batch 3","Backlog")))</x:f>
        <x:v>Backlog</x:v>
      </x:c>
      <x:c r="AH333" t="inlineStr">
        <x:is>
          <x:t xml:space="preserve"/>
        </x:is>
      </x:c>
    </x:row>
    <x:row r="334">
      <x:c r="A334" s="5" t="inlineStr">
        <x:is>
          <x:t xml:space="preserve">GPO-PER-24</x:t>
        </x:is>
      </x:c>
      <x:c r="B334" s="5" t="n">
        <x:v>330</x:v>
      </x:c>
      <x:c r="C334" s="5" t="inlineStr">
        <x:is>
          <x:t xml:space="preserve">Personal Finance &amp; Investing</x:t>
        </x:is>
      </x:c>
      <x:c r="D334" s="5" t="inlineStr">
        <x:is>
          <x:t xml:space="preserve">Money</x:t>
        </x:is>
      </x:c>
      <x:c r="E334" s="5" t="inlineStr">
        <x:is>
          <x:t xml:space="preserve">Stretch 60</x:t>
        </x:is>
      </x:c>
      <x:c r="F334" s="5" t="n">
        <x:v>24</x:v>
      </x:c>
      <x:c r="G334" s="5" t="inlineStr">
        <x:is>
          <x:t xml:space="preserve">Turn vague financial ambitions into exact monthly and yearly targets with thresholds.</x:t>
        </x:is>
      </x:c>
      <x:c r="H334" s="6" t="n">
        <x:v>38</x:v>
      </x:c>
      <x:c r="I334" s="6" t="n">
        <x:v>38</x:v>
      </x:c>
      <x:c r="J334" s="7" t="n">
        <x:v>53</x:v>
      </x:c>
      <x:c r="K334" s="7" t="n">
        <x:v>45</x:v>
      </x:c>
      <x:c r="L334" s="8" t="inlineStr">
        <x:is>
          <x:t xml:space="preserve">UNTESTED</x:t>
        </x:is>
      </x:c>
      <x:c r="M334" s="9" t="inlineStr">
        <x:is>
          <x:t xml:space="preserve">UNTESTED</x:t>
        </x:is>
      </x:c>
      <x:c r="N334" s="5" t="inlineStr">
        <x:is>
          <x:t xml:space="preserve">scenario modeling; budgeting; portfolio reasoning; decision framing</x:t>
        </x:is>
      </x:c>
      <x:c r="O334" s="5" t="inlineStr">
        <x:is>
          <x:t xml:space="preserve">Medium</x:t>
        </x:is>
      </x:c>
      <x:c r="P334" s="5" t="inlineStr">
        <x:is>
          <x:t xml:space="preserve">High</x:t>
        </x:is>
      </x:c>
      <x:c r="Q334" s="5" t="inlineStr">
        <x:is>
          <x:t xml:space="preserve">Medium</x:t>
        </x:is>
      </x:c>
      <x:c r="R334" s="5" t="inlineStr">
        <x:is>
          <x:t xml:space="preserve">Low</x:t>
        </x:is>
      </x:c>
      <x:c r="S334" s="5" t="inlineStr">
        <x:is>
          <x:t xml:space="preserve">Medium</x:t>
        </x:is>
      </x:c>
      <x:c r="T334" s="5" t="inlineStr">
        <x:is>
          <x:t xml:space="preserve">ChatGPT or Claude with spreadsheet support</x:t>
        </x:is>
      </x:c>
      <x:c r="U334" s="5" t="inlineStr">
        <x:is>
          <x:t xml:space="preserve">Hard</x:t>
        </x:is>
      </x:c>
      <x:c r="V334" s="10" t="n">
        <x:v>3</x:v>
      </x:c>
      <x:c r="W334" s="5" t="inlineStr">
        <x:is>
          <x:t xml:space="preserve">Scenario modeling + coherence review</x:t>
        </x:is>
      </x:c>
      <x:c r="X334" s="5" t="inlineStr">
        <x:is>
          <x:t xml:space="preserve">budget / model / plan / recommendation</x:t>
        </x:is>
      </x:c>
      <x:c r="Y334" s="5" t="inlineStr">
        <x:is>
          <x:t xml:space="preserve">Advice is numerically coherent, practical, and transparent about assumptions.</x:t>
        </x:is>
      </x:c>
      <x:c r="Z334" s="5" t="inlineStr">
        <x:is>
          <x:t xml:space="preserve">Bad math, missing assumptions, or overconfident investment guidance.</x:t>
        </x:is>
      </x:c>
      <x:c r="AA334" s="5" t="inlineStr">
        <x:is>
          <x:t xml:space="preserve">financial calculator / assumption schema / spreadsheet outputs</x:t>
        </x:is>
      </x:c>
      <x:c r="AB334" s="5" t="inlineStr">
        <x:is>
          <x:t xml:space="preserve"/>
        </x:is>
      </x:c>
      <x:c r="AC334" s="5" t="inlineStr">
        <x:is>
          <x:t xml:space="preserve">FNBO says 46% of Americans have used AI to help with personal finances; NerdWallet says 48% expect AI to positively affect finances; survey reporting shows budgeting, investing, and saving are common AI-influenced decisions.</x:t>
        </x:is>
      </x:c>
      <x:c r="AD334" s="5" t="inlineStr">
        <x:is>
          <x:t xml:space="preserve">FNBO Financial Wellbeing Study 2025; NerdWallet/Harris Poll 2026; PlanAdviser 2026</x:t>
        </x:is>
      </x:c>
      <x:c r="AE334" s="11">
        <x:f>IF(O334="High",20,IF(O334="Medium",10,IF(O334="Low",5,0)))+IF(P334="High",20,IF(P334="Medium",10,IF(P334="Low",5,0)))+IF(Q334="High",20,IF(Q334="Medium",10,IF(Q334="Low",5,0)))+IF(R334="High",20,IF(R334="Medium",10,IF(R334="Low",5,0)))+IF(S334="High",20,IF(S334="Medium",10,IF(S334="Low",5,0)))</x:f>
        <x:v>55</x:v>
      </x:c>
      <x:c r="AF334" s="12">
        <x:f>ROUND(H334*0.30+J334*0.25+K334*0.20+(100-AE334)*0.10+(100-(V334*20))*0.15,0)</x:f>
        <x:v>44</x:v>
      </x:c>
      <x:c r="AG334" s="13" t="str">
        <x:f>IF(AF334&gt;=80,"Batch 1",IF(AF334&gt;=70,"Batch 2",IF(AF334&gt;=60,"Batch 3","Backlog")))</x:f>
        <x:v>Backlog</x:v>
      </x:c>
      <x:c r="AH334" t="inlineStr">
        <x:is>
          <x:t xml:space="preserve"/>
        </x:is>
      </x:c>
    </x:row>
    <x:row r="335">
      <x:c r="A335" s="5" t="inlineStr">
        <x:is>
          <x:t xml:space="preserve">GPO-MUS-15</x:t>
        </x:is>
      </x:c>
      <x:c r="B335" s="5" t="n">
        <x:v>331</x:v>
      </x:c>
      <x:c r="C335" s="5" t="inlineStr">
        <x:is>
          <x:t xml:space="preserve">Music &amp; Audio Creation</x:t>
        </x:is>
      </x:c>
      <x:c r="D335" s="5" t="inlineStr">
        <x:is>
          <x:t xml:space="preserve">Create</x:t>
        </x:is>
      </x:c>
      <x:c r="E335" s="5" t="inlineStr">
        <x:is>
          <x:t xml:space="preserve">Expansion 150</x:t>
        </x:is>
      </x:c>
      <x:c r="F335" s="5" t="n">
        <x:v>15</x:v>
      </x:c>
      <x:c r="G335" s="5" t="inlineStr">
        <x:is>
          <x:t xml:space="preserve">Build a live performance/practice setup around my keyboard and devices.</x:t>
        </x:is>
      </x:c>
      <x:c r="H335" s="6" t="n">
        <x:v>37</x:v>
      </x:c>
      <x:c r="I335" s="6" t="n">
        <x:v>37</x:v>
      </x:c>
      <x:c r="J335" s="7" t="n">
        <x:v>54</x:v>
      </x:c>
      <x:c r="K335" s="7" t="n">
        <x:v>45</x:v>
      </x:c>
      <x:c r="L335" s="8" t="inlineStr">
        <x:is>
          <x:t xml:space="preserve">UNTESTED</x:t>
        </x:is>
      </x:c>
      <x:c r="M335" s="9" t="inlineStr">
        <x:is>
          <x:t xml:space="preserve">UNTESTED</x:t>
        </x:is>
      </x:c>
      <x:c r="N335" s="5" t="inlineStr">
        <x:is>
          <x:t xml:space="preserve">theory help; composition support; practice coaching; audio workflow planning</x:t>
        </x:is>
      </x:c>
      <x:c r="O335" s="5" t="inlineStr">
        <x:is>
          <x:t xml:space="preserve">Low</x:t>
        </x:is>
      </x:c>
      <x:c r="P335" s="5" t="inlineStr">
        <x:is>
          <x:t xml:space="preserve">Medium</x:t>
        </x:is>
      </x:c>
      <x:c r="Q335" s="5" t="inlineStr">
        <x:is>
          <x:t xml:space="preserve">Medium</x:t>
        </x:is>
      </x:c>
      <x:c r="R335" s="5" t="inlineStr">
        <x:is>
          <x:t xml:space="preserve">Low</x:t>
        </x:is>
      </x:c>
      <x:c r="S335" s="5" t="inlineStr">
        <x:is>
          <x:t xml:space="preserve">Medium</x:t>
        </x:is>
      </x:c>
      <x:c r="T335" s="5" t="inlineStr">
        <x:is>
          <x:t xml:space="preserve">ChatGPT/Claude planning + external music tools</x:t>
        </x:is>
      </x:c>
      <x:c r="U335" s="5" t="inlineStr">
        <x:is>
          <x:t xml:space="preserve">Medium</x:t>
        </x:is>
      </x:c>
      <x:c r="V335" s="10" t="n">
        <x:v>2</x:v>
      </x:c>
      <x:c r="W335" s="5" t="inlineStr">
        <x:is>
          <x:t xml:space="preserve">Creative coaching + workflow review</x:t>
        </x:is>
      </x:c>
      <x:c r="X335" s="5" t="inlineStr">
        <x:is>
          <x:t xml:space="preserve">practice plan / composition guide / arrangement brief</x:t>
        </x:is>
      </x:c>
      <x:c r="Y335" s="5" t="inlineStr">
        <x:is>
          <x:t xml:space="preserve">Output helps create or learn music in a concrete, musically coherent way.</x:t>
        </x:is>
      </x:c>
      <x:c r="Z335" s="5" t="inlineStr">
        <x:is>
          <x:t xml:space="preserve">Musically weak suggestions, generic advice, or no usable next step.</x:t>
        </x:is>
      </x:c>
      <x:c r="AA335" s="5" t="inlineStr">
        <x:is>
          <x:t xml:space="preserve">music mode / external tool routing / structured lesson outputs</x:t>
        </x:is>
      </x:c>
      <x:c r="AB335" s="5" t="inlineStr">
        <x:is>
          <x:t xml:space="preserve"/>
        </x:is>
      </x:c>
      <x:c r="AC335" s="5" t="inlineStr">
        <x:is>
          <x:t xml:space="preserve">Music-maker surveys show strong AI usage in parts of workflow, but full-song generation is less appealing; consumer trust remains mixed.</x:t>
        </x:is>
      </x:c>
      <x:c r="AD335" s="5" t="inlineStr">
        <x:is>
          <x:t xml:space="preserve">LANDR study 2025; PRS for Music 2026; Bain media survey 2025</x:t>
        </x:is>
      </x:c>
      <x:c r="AE335" s="11">
        <x:f>IF(O335="High",20,IF(O335="Medium",10,IF(O335="Low",5,0)))+IF(P335="High",20,IF(P335="Medium",10,IF(P335="Low",5,0)))+IF(Q335="High",20,IF(Q335="Medium",10,IF(Q335="Low",5,0)))+IF(R335="High",20,IF(R335="Medium",10,IF(R335="Low",5,0)))+IF(S335="High",20,IF(S335="Medium",10,IF(S335="Low",5,0)))</x:f>
        <x:v>40</x:v>
      </x:c>
      <x:c r="AF335" s="12">
        <x:f>ROUND(H335*0.30+J335*0.25+K335*0.20+(100-AE335)*0.10+(100-(V335*20))*0.15,0)</x:f>
        <x:v>49</x:v>
      </x:c>
      <x:c r="AG335" s="13" t="str">
        <x:f>IF(AF335&gt;=80,"Batch 1",IF(AF335&gt;=70,"Batch 2",IF(AF335&gt;=60,"Batch 3","Backlog")))</x:f>
        <x:v>Backlog</x:v>
      </x:c>
      <x:c r="AH335" t="inlineStr">
        <x:is>
          <x:t xml:space="preserve"/>
        </x:is>
      </x:c>
    </x:row>
    <x:row r="336">
      <x:c r="A336" s="5" t="inlineStr">
        <x:is>
          <x:t xml:space="preserve">GPO-FIL-14</x:t>
        </x:is>
      </x:c>
      <x:c r="B336" s="5" t="n">
        <x:v>332</x:v>
      </x:c>
      <x:c r="C336" s="5" t="inlineStr">
        <x:is>
          <x:t xml:space="preserve">Filmmaking &amp; Video Production</x:t>
        </x:is>
      </x:c>
      <x:c r="D336" s="5" t="inlineStr">
        <x:is>
          <x:t xml:space="preserve">Create</x:t>
        </x:is>
      </x:c>
      <x:c r="E336" s="5" t="inlineStr">
        <x:is>
          <x:t xml:space="preserve">Expansion 150</x:t>
        </x:is>
      </x:c>
      <x:c r="F336" s="5" t="n">
        <x:v>14</x:v>
      </x:c>
      <x:c r="G336" s="5" t="inlineStr">
        <x:is>
          <x:t xml:space="preserve">Write precise prompts for cinematic B-roll or establishing shots about {theme}.</x:t>
        </x:is>
      </x:c>
      <x:c r="H336" s="6" t="n">
        <x:v>41</x:v>
      </x:c>
      <x:c r="I336" s="6" t="n">
        <x:v>41</x:v>
      </x:c>
      <x:c r="J336" s="7" t="n">
        <x:v>48</x:v>
      </x:c>
      <x:c r="K336" s="7" t="n">
        <x:v>44</x:v>
      </x:c>
      <x:c r="L336" s="8" t="inlineStr">
        <x:is>
          <x:t xml:space="preserve">UNTESTED</x:t>
        </x:is>
      </x:c>
      <x:c r="M336" s="9" t="inlineStr">
        <x:is>
          <x:t xml:space="preserve">UNTESTED</x:t>
        </x:is>
      </x:c>
      <x:c r="N336" s="5" t="inlineStr">
        <x:is>
          <x:t xml:space="preserve">shot planning; multimodal coordination; tool routing; production workflow</x:t>
        </x:is>
      </x:c>
      <x:c r="O336" s="5" t="inlineStr">
        <x:is>
          <x:t xml:space="preserve">Low</x:t>
        </x:is>
      </x:c>
      <x:c r="P336" s="5" t="inlineStr">
        <x:is>
          <x:t xml:space="preserve">Medium</x:t>
        </x:is>
      </x:c>
      <x:c r="Q336" s="5" t="inlineStr">
        <x:is>
          <x:t xml:space="preserve">High</x:t>
        </x:is>
      </x:c>
      <x:c r="R336" s="5" t="inlineStr">
        <x:is>
          <x:t xml:space="preserve">High</x:t>
        </x:is>
      </x:c>
      <x:c r="S336" s="5" t="inlineStr">
        <x:is>
          <x:t xml:space="preserve">Medium</x:t>
        </x:is>
      </x:c>
      <x:c r="T336" s="5" t="inlineStr">
        <x:is>
          <x:t xml:space="preserve">Claude planning + external video/image tools</x:t>
        </x:is>
      </x:c>
      <x:c r="U336" s="5" t="inlineStr">
        <x:is>
          <x:t xml:space="preserve">Hard</x:t>
        </x:is>
      </x:c>
      <x:c r="V336" s="10" t="n">
        <x:v>3</x:v>
      </x:c>
      <x:c r="W336" s="5" t="inlineStr">
        <x:is>
          <x:t xml:space="preserve">Workflow plan + asset chain review</x:t>
        </x:is>
      </x:c>
      <x:c r="X336" s="5" t="inlineStr">
        <x:is>
          <x:t xml:space="preserve">shot list / storyboard / production workflow / tool stack recommendation</x:t>
        </x:is>
      </x:c>
      <x:c r="Y336" s="5" t="inlineStr">
        <x:is>
          <x:t xml:space="preserve">Workflow is executable with current tools and preserves consistency across assets.</x:t>
        </x:is>
      </x:c>
      <x:c r="Z336" s="5" t="inlineStr">
        <x:is>
          <x:t xml:space="preserve">Ignores tool limits, no consistency strategy, or vague production logic.</x:t>
        </x:is>
      </x:c>
      <x:c r="AA336" s="5" t="inlineStr">
        <x:is>
          <x:t xml:space="preserve">multimodal orchestration / provider routing / asset schema</x:t>
        </x:is>
      </x:c>
      <x:c r="AB336" s="5" t="inlineStr">
        <x:is>
          <x:t xml:space="preserve"/>
        </x:is>
      </x:c>
      <x:c r="AC336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36" s="5" t="inlineStr">
        <x:is>
          <x:t xml:space="preserve">Wondercraft/Digiday creator workflow survey 2025; Artificial Analysis generative media survey 2025; Reuters/Canal+ 2026</x:t>
        </x:is>
      </x:c>
      <x:c r="AE336" s="11">
        <x:f>IF(O336="High",20,IF(O336="Medium",10,IF(O336="Low",5,0)))+IF(P336="High",20,IF(P336="Medium",10,IF(P336="Low",5,0)))+IF(Q336="High",20,IF(Q336="Medium",10,IF(Q336="Low",5,0)))+IF(R336="High",20,IF(R336="Medium",10,IF(R336="Low",5,0)))+IF(S336="High",20,IF(S336="Medium",10,IF(S336="Low",5,0)))</x:f>
        <x:v>65</x:v>
      </x:c>
      <x:c r="AF336" s="12">
        <x:f>ROUND(H336*0.30+J336*0.25+K336*0.20+(100-AE336)*0.10+(100-(V336*20))*0.15,0)</x:f>
        <x:v>43</x:v>
      </x:c>
      <x:c r="AG336" s="13" t="str">
        <x:f>IF(AF336&gt;=80,"Batch 1",IF(AF336&gt;=70,"Batch 2",IF(AF336&gt;=60,"Batch 3","Backlog")))</x:f>
        <x:v>Backlog</x:v>
      </x:c>
      <x:c r="AH336" t="inlineStr">
        <x:is>
          <x:t xml:space="preserve"/>
        </x:is>
      </x:c>
    </x:row>
    <x:row r="337">
      <x:c r="A337" s="5" t="inlineStr">
        <x:is>
          <x:t xml:space="preserve">GPO-HOM-23</x:t>
        </x:is>
      </x:c>
      <x:c r="B337" s="5" t="n">
        <x:v>333</x:v>
      </x:c>
      <x:c r="C337" s="5" t="inlineStr">
        <x:is>
          <x:t xml:space="preserve">Home &amp; Lifestyle Design</x:t>
        </x:is>
      </x:c>
      <x:c r="D337" s="5" t="inlineStr">
        <x:is>
          <x:t xml:space="preserve">Design</x:t>
        </x:is>
      </x:c>
      <x:c r="E337" s="5" t="inlineStr">
        <x:is>
          <x:t xml:space="preserve">Stretch 60</x:t>
        </x:is>
      </x:c>
      <x:c r="F337" s="5" t="n">
        <x:v>23</x:v>
      </x:c>
      <x:c r="G337" s="5" t="inlineStr">
        <x:is>
          <x:t xml:space="preserve">Design a luxury home theater blueprint with acoustics, seating, lighting, and signal chain logic.</x:t>
        </x:is>
      </x:c>
      <x:c r="H337" s="6" t="n">
        <x:v>38</x:v>
      </x:c>
      <x:c r="I337" s="6" t="n">
        <x:v>38</x:v>
      </x:c>
      <x:c r="J337" s="7" t="n">
        <x:v>52</x:v>
      </x:c>
      <x:c r="K337" s="7" t="n">
        <x:v>44</x:v>
      </x:c>
      <x:c r="L337" s="8" t="inlineStr">
        <x:is>
          <x:t xml:space="preserve">UNTESTED</x:t>
        </x:is>
      </x:c>
      <x:c r="M337" s="9" t="inlineStr">
        <x:is>
          <x:t xml:space="preserve">UNTESTED</x:t>
        </x:is>
      </x:c>
      <x:c r="N337" s="5" t="inlineStr">
        <x:is>
          <x:t xml:space="preserve">space planning; product curation; aesthetic reasoning; phased project planning</x:t>
        </x:is>
      </x:c>
      <x:c r="O337" s="5" t="inlineStr">
        <x:is>
          <x:t xml:space="preserve">Medium</x:t>
        </x:is>
      </x:c>
      <x:c r="P337" s="5" t="inlineStr">
        <x:is>
          <x:t xml:space="preserve">High</x:t>
        </x:is>
      </x:c>
      <x:c r="Q337" s="5" t="inlineStr">
        <x:is>
          <x:t xml:space="preserve">Medium</x:t>
        </x:is>
      </x:c>
      <x:c r="R337" s="5" t="inlineStr">
        <x:is>
          <x:t xml:space="preserve">Low</x:t>
        </x:is>
      </x:c>
      <x:c r="S337" s="5" t="inlineStr">
        <x:is>
          <x:t xml:space="preserve">Low</x:t>
        </x:is>
      </x:c>
      <x:c r="T337" s="5" t="inlineStr">
        <x:is>
          <x:t xml:space="preserve">ChatGPT with web; image/design tools later</x:t>
        </x:is>
      </x:c>
      <x:c r="U337" s="5" t="inlineStr">
        <x:is>
          <x:t xml:space="preserve">Hard</x:t>
        </x:is>
      </x:c>
      <x:c r="V337" s="10" t="n">
        <x:v>3</x:v>
      </x:c>
      <x:c r="W337" s="5" t="inlineStr">
        <x:is>
          <x:t xml:space="preserve">Design brief generation + feasibility review</x:t>
        </x:is>
      </x:c>
      <x:c r="X337" s="5" t="inlineStr">
        <x:is>
          <x:t xml:space="preserve">layout / shopping plan / phased upgrade roadmap</x:t>
        </x:is>
      </x:c>
      <x:c r="Y337" s="5" t="inlineStr">
        <x:is>
          <x:t xml:space="preserve">Design plan feels cohesive, practical, and matched to lifestyle goals.</x:t>
        </x:is>
      </x:c>
      <x:c r="Z337" s="5" t="inlineStr">
        <x:is>
          <x:t xml:space="preserve">Pretty but impractical suggestions, no budget logic, or weak taste alignment.</x:t>
        </x:is>
      </x:c>
      <x:c r="AA337" s="5" t="inlineStr">
        <x:is>
          <x:t xml:space="preserve">design preference memory / shopping integration / image workflow</x:t>
        </x:is>
      </x:c>
      <x:c r="AB337" s="5" t="inlineStr">
        <x:is>
          <x:t xml:space="preserve"/>
        </x:is>
      </x:c>
      <x:c r="AC337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37" s="5" t="inlineStr">
        <x:is>
          <x:t xml:space="preserve">ThinkLab 2025 design benchmark; Houzz 2025 AI in construction &amp; design; Canadian Contractor/Mattoboard survey 2025</x:t>
        </x:is>
      </x:c>
      <x:c r="AE337" s="11">
        <x:f>IF(O337="High",20,IF(O337="Medium",10,IF(O337="Low",5,0)))+IF(P337="High",20,IF(P337="Medium",10,IF(P337="Low",5,0)))+IF(Q337="High",20,IF(Q337="Medium",10,IF(Q337="Low",5,0)))+IF(R337="High",20,IF(R337="Medium",10,IF(R337="Low",5,0)))+IF(S337="High",20,IF(S337="Medium",10,IF(S337="Low",5,0)))</x:f>
        <x:v>50</x:v>
      </x:c>
      <x:c r="AF337" s="12">
        <x:f>ROUND(H337*0.30+J337*0.25+K337*0.20+(100-AE337)*0.10+(100-(V337*20))*0.15,0)</x:f>
        <x:v>44</x:v>
      </x:c>
      <x:c r="AG337" s="13" t="str">
        <x:f>IF(AF337&gt;=80,"Batch 1",IF(AF337&gt;=70,"Batch 2",IF(AF337&gt;=60,"Batch 3","Backlog")))</x:f>
        <x:v>Backlog</x:v>
      </x:c>
      <x:c r="AH337" t="inlineStr">
        <x:is>
          <x:t xml:space="preserve"/>
        </x:is>
      </x:c>
    </x:row>
    <x:row r="338">
      <x:c r="A338" s="5" t="inlineStr">
        <x:is>
          <x:t xml:space="preserve">GPO-SCR-24</x:t>
        </x:is>
      </x:c>
      <x:c r="B338" s="5" t="n">
        <x:v>334</x:v>
      </x:c>
      <x:c r="C338" s="5" t="inlineStr">
        <x:is>
          <x:t xml:space="preserve">Screenwriting &amp; Story Development</x:t>
        </x:is>
      </x:c>
      <x:c r="D338" s="5" t="inlineStr">
        <x:is>
          <x:t xml:space="preserve">Create</x:t>
        </x:is>
      </x:c>
      <x:c r="E338" s="5" t="inlineStr">
        <x:is>
          <x:t xml:space="preserve">Stretch 60</x:t>
        </x:is>
      </x:c>
      <x:c r="F338" s="5" t="n">
        <x:v>24</x:v>
      </x:c>
      <x:c r="G338" s="5" t="inlineStr">
        <x:is>
          <x:t xml:space="preserve">Stress-test whether a story is truly unique or just remixing familiar genre beats.</x:t>
        </x:is>
      </x:c>
      <x:c r="H338" s="6" t="n">
        <x:v>38</x:v>
      </x:c>
      <x:c r="I338" s="6" t="n">
        <x:v>38</x:v>
      </x:c>
      <x:c r="J338" s="7" t="n">
        <x:v>52</x:v>
      </x:c>
      <x:c r="K338" s="7" t="n">
        <x:v>44</x:v>
      </x:c>
      <x:c r="L338" s="8" t="inlineStr">
        <x:is>
          <x:t xml:space="preserve">UNTESTED</x:t>
        </x:is>
      </x:c>
      <x:c r="M338" s="9" t="inlineStr">
        <x:is>
          <x:t xml:space="preserve">UNTESTED</x:t>
        </x:is>
      </x:c>
      <x:c r="N338" s="5" t="inlineStr">
        <x:is>
          <x:t xml:space="preserve">creative ideation; story structure; tone control; character design</x:t>
        </x:is>
      </x:c>
      <x:c r="O338" s="5" t="inlineStr">
        <x:is>
          <x:t xml:space="preserve">Low</x:t>
        </x:is>
      </x:c>
      <x:c r="P338" s="5" t="inlineStr">
        <x:is>
          <x:t xml:space="preserve">Medium</x:t>
        </x:is>
      </x:c>
      <x:c r="Q338" s="5" t="inlineStr">
        <x:is>
          <x:t xml:space="preserve">Low</x:t>
        </x:is>
      </x:c>
      <x:c r="R338" s="5" t="inlineStr">
        <x:is>
          <x:t xml:space="preserve">Low</x:t>
        </x:is>
      </x:c>
      <x:c r="S338" s="5" t="inlineStr">
        <x:is>
          <x:t xml:space="preserve">Low</x:t>
        </x:is>
      </x:c>
      <x:c r="T338" s="5" t="inlineStr">
        <x:is>
          <x:t xml:space="preserve">ChatGPT or Claude creative mode</x:t>
        </x:is>
      </x:c>
      <x:c r="U338" s="5" t="inlineStr">
        <x:is>
          <x:t xml:space="preserve">Hard</x:t>
        </x:is>
      </x:c>
      <x:c r="V338" s="10" t="n">
        <x:v>3</x:v>
      </x:c>
      <x:c r="W338" s="5" t="inlineStr">
        <x:is>
          <x:t xml:space="preserve">Creative prompt run + human taste review</x:t>
        </x:is>
      </x:c>
      <x:c r="X338" s="5" t="inlineStr">
        <x:is>
          <x:t xml:space="preserve">logline / outline / scene rewrite / treatment</x:t>
        </x:is>
      </x:c>
      <x:c r="Y338" s="5" t="inlineStr">
        <x:is>
          <x:t xml:space="preserve">Story work feels coherent, original, and emotionally alive.</x:t>
        </x:is>
      </x:c>
      <x:c r="Z338" s="5" t="inlineStr">
        <x:is>
          <x:t xml:space="preserve">Cliche ideas, flat dialogue, weak stakes, or no tonal discipline.</x:t>
        </x:is>
      </x:c>
      <x:c r="AA338" s="5" t="inlineStr">
        <x:is>
          <x:t xml:space="preserve">creative mode / style packs / development workflow</x:t>
        </x:is>
      </x:c>
      <x:c r="AB338" s="5" t="inlineStr">
        <x:is>
          <x:t xml:space="preserve"/>
        </x:is>
      </x:c>
      <x:c r="AC338" s="5" t="inlineStr">
        <x:is>
          <x:t xml:space="preserve">OpenAI practical guidance includes creative ideation; creator surveys show broad use of generative AI in creative workflows.</x:t>
        </x:is>
      </x:c>
      <x:c r="AD338" s="5" t="inlineStr">
        <x:is>
          <x:t xml:space="preserve">OpenAI How People Use ChatGPT paper; Adobe creators survey 2025; Wondercraft/Digiday creator workflow survey 2025</x:t>
        </x:is>
      </x:c>
      <x:c r="AE338" s="11">
        <x:f>IF(O338="High",20,IF(O338="Medium",10,IF(O338="Low",5,0)))+IF(P338="High",20,IF(P338="Medium",10,IF(P338="Low",5,0)))+IF(Q338="High",20,IF(Q338="Medium",10,IF(Q338="Low",5,0)))+IF(R338="High",20,IF(R338="Medium",10,IF(R338="Low",5,0)))+IF(S338="High",20,IF(S338="Medium",10,IF(S338="Low",5,0)))</x:f>
        <x:v>30</x:v>
      </x:c>
      <x:c r="AF338" s="12">
        <x:f>ROUND(H338*0.30+J338*0.25+K338*0.20+(100-AE338)*0.10+(100-(V338*20))*0.15,0)</x:f>
        <x:v>46</x:v>
      </x:c>
      <x:c r="AG338" s="13" t="str">
        <x:f>IF(AF338&gt;=80,"Batch 1",IF(AF338&gt;=70,"Batch 2",IF(AF338&gt;=60,"Batch 3","Backlog")))</x:f>
        <x:v>Backlog</x:v>
      </x:c>
      <x:c r="AH338" t="inlineStr">
        <x:is>
          <x:t xml:space="preserve"/>
        </x:is>
      </x:c>
    </x:row>
    <x:row r="339">
      <x:c r="A339" s="5" t="inlineStr">
        <x:is>
          <x:t xml:space="preserve">GPO-HOM-18</x:t>
        </x:is>
      </x:c>
      <x:c r="B339" s="5" t="n">
        <x:v>335</x:v>
      </x:c>
      <x:c r="C339" s="5" t="inlineStr">
        <x:is>
          <x:t xml:space="preserve">Home &amp; Lifestyle Design</x:t>
        </x:is>
      </x:c>
      <x:c r="D339" s="5" t="inlineStr">
        <x:is>
          <x:t xml:space="preserve">Design</x:t>
        </x:is>
      </x:c>
      <x:c r="E339" s="5" t="inlineStr">
        <x:is>
          <x:t xml:space="preserve">Expansion 150</x:t>
        </x:is>
      </x:c>
      <x:c r="F339" s="5" t="n">
        <x:v>18</x:v>
      </x:c>
      <x:c r="G339" s="5" t="inlineStr">
        <x:is>
          <x:t xml:space="preserve">Help me integrate wellness, fitness, and entertainment into home design.</x:t>
        </x:is>
      </x:c>
      <x:c r="H339" s="6" t="n">
        <x:v>32</x:v>
      </x:c>
      <x:c r="I339" s="6" t="n">
        <x:v>32</x:v>
      </x:c>
      <x:c r="J339" s="7" t="n">
        <x:v>60</x:v>
      </x:c>
      <x:c r="K339" s="7" t="n">
        <x:v>45</x:v>
      </x:c>
      <x:c r="L339" s="8" t="inlineStr">
        <x:is>
          <x:t xml:space="preserve">UNTESTED</x:t>
        </x:is>
      </x:c>
      <x:c r="M339" s="9" t="inlineStr">
        <x:is>
          <x:t xml:space="preserve">UNTESTED</x:t>
        </x:is>
      </x:c>
      <x:c r="N339" s="5" t="inlineStr">
        <x:is>
          <x:t xml:space="preserve">space planning; product curation; aesthetic reasoning; phased project planning</x:t>
        </x:is>
      </x:c>
      <x:c r="O339" s="5" t="inlineStr">
        <x:is>
          <x:t xml:space="preserve">Medium</x:t>
        </x:is>
      </x:c>
      <x:c r="P339" s="5" t="inlineStr">
        <x:is>
          <x:t xml:space="preserve">High</x:t>
        </x:is>
      </x:c>
      <x:c r="Q339" s="5" t="inlineStr">
        <x:is>
          <x:t xml:space="preserve">Medium</x:t>
        </x:is>
      </x:c>
      <x:c r="R339" s="5" t="inlineStr">
        <x:is>
          <x:t xml:space="preserve">Low</x:t>
        </x:is>
      </x:c>
      <x:c r="S339" s="5" t="inlineStr">
        <x:is>
          <x:t xml:space="preserve">Low</x:t>
        </x:is>
      </x:c>
      <x:c r="T339" s="5" t="inlineStr">
        <x:is>
          <x:t xml:space="preserve">ChatGPT with web; image/design tools later</x:t>
        </x:is>
      </x:c>
      <x:c r="U339" s="5" t="inlineStr">
        <x:is>
          <x:t xml:space="preserve">Medium</x:t>
        </x:is>
      </x:c>
      <x:c r="V339" s="10" t="n">
        <x:v>2</x:v>
      </x:c>
      <x:c r="W339" s="5" t="inlineStr">
        <x:is>
          <x:t xml:space="preserve">Design brief generation + feasibility review</x:t>
        </x:is>
      </x:c>
      <x:c r="X339" s="5" t="inlineStr">
        <x:is>
          <x:t xml:space="preserve">layout / shopping plan / phased upgrade roadmap</x:t>
        </x:is>
      </x:c>
      <x:c r="Y339" s="5" t="inlineStr">
        <x:is>
          <x:t xml:space="preserve">Design plan feels cohesive, practical, and matched to lifestyle goals.</x:t>
        </x:is>
      </x:c>
      <x:c r="Z339" s="5" t="inlineStr">
        <x:is>
          <x:t xml:space="preserve">Pretty but impractical suggestions, no budget logic, or weak taste alignment.</x:t>
        </x:is>
      </x:c>
      <x:c r="AA339" s="5" t="inlineStr">
        <x:is>
          <x:t xml:space="preserve">design preference memory / shopping integration / image workflow</x:t>
        </x:is>
      </x:c>
      <x:c r="AB339" s="5" t="inlineStr">
        <x:is>
          <x:t xml:space="preserve"/>
        </x:is>
      </x:c>
      <x:c r="AC339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39" s="5" t="inlineStr">
        <x:is>
          <x:t xml:space="preserve">ThinkLab 2025 design benchmark; Houzz 2025 AI in construction &amp; design; Canadian Contractor/Mattoboard survey 2025</x:t>
        </x:is>
      </x:c>
      <x:c r="AE339" s="11">
        <x:f>IF(O339="High",20,IF(O339="Medium",10,IF(O339="Low",5,0)))+IF(P339="High",20,IF(P339="Medium",10,IF(P339="Low",5,0)))+IF(Q339="High",20,IF(Q339="Medium",10,IF(Q339="Low",5,0)))+IF(R339="High",20,IF(R339="Medium",10,IF(R339="Low",5,0)))+IF(S339="High",20,IF(S339="Medium",10,IF(S339="Low",5,0)))</x:f>
        <x:v>50</x:v>
      </x:c>
      <x:c r="AF339" s="12">
        <x:f>ROUND(H339*0.30+J339*0.25+K339*0.20+(100-AE339)*0.10+(100-(V339*20))*0.15,0)</x:f>
        <x:v>48</x:v>
      </x:c>
      <x:c r="AG339" s="13" t="str">
        <x:f>IF(AF339&gt;=80,"Batch 1",IF(AF339&gt;=70,"Batch 2",IF(AF339&gt;=60,"Batch 3","Backlog")))</x:f>
        <x:v>Backlog</x:v>
      </x:c>
      <x:c r="AH339" t="inlineStr">
        <x:is>
          <x:t xml:space="preserve"/>
        </x:is>
      </x:c>
    </x:row>
    <x:row r="340">
      <x:c r="A340" s="5" t="inlineStr">
        <x:is>
          <x:t xml:space="preserve">GPO-MUS-16</x:t>
        </x:is>
      </x:c>
      <x:c r="B340" s="5" t="n">
        <x:v>336</x:v>
      </x:c>
      <x:c r="C340" s="5" t="inlineStr">
        <x:is>
          <x:t xml:space="preserve">Music &amp; Audio Creation</x:t>
        </x:is>
      </x:c>
      <x:c r="D340" s="5" t="inlineStr">
        <x:is>
          <x:t xml:space="preserve">Create</x:t>
        </x:is>
      </x:c>
      <x:c r="E340" s="5" t="inlineStr">
        <x:is>
          <x:t xml:space="preserve">Expansion 150</x:t>
        </x:is>
      </x:c>
      <x:c r="F340" s="5" t="n">
        <x:v>16</x:v>
      </x:c>
      <x:c r="G340" s="5" t="inlineStr">
        <x:is>
          <x:t xml:space="preserve">Teach me arrangement, layering, and transitions so songs feel finished.</x:t>
        </x:is>
      </x:c>
      <x:c r="H340" s="6" t="n">
        <x:v>36</x:v>
      </x:c>
      <x:c r="I340" s="6" t="n">
        <x:v>36</x:v>
      </x:c>
      <x:c r="J340" s="7" t="n">
        <x:v>53</x:v>
      </x:c>
      <x:c r="K340" s="7" t="n">
        <x:v>44</x:v>
      </x:c>
      <x:c r="L340" s="8" t="inlineStr">
        <x:is>
          <x:t xml:space="preserve">UNTESTED</x:t>
        </x:is>
      </x:c>
      <x:c r="M340" s="9" t="inlineStr">
        <x:is>
          <x:t xml:space="preserve">UNTESTED</x:t>
        </x:is>
      </x:c>
      <x:c r="N340" s="5" t="inlineStr">
        <x:is>
          <x:t xml:space="preserve">theory help; composition support; practice coaching; audio workflow planning</x:t>
        </x:is>
      </x:c>
      <x:c r="O340" s="5" t="inlineStr">
        <x:is>
          <x:t xml:space="preserve">Low</x:t>
        </x:is>
      </x:c>
      <x:c r="P340" s="5" t="inlineStr">
        <x:is>
          <x:t xml:space="preserve">Medium</x:t>
        </x:is>
      </x:c>
      <x:c r="Q340" s="5" t="inlineStr">
        <x:is>
          <x:t xml:space="preserve">Medium</x:t>
        </x:is>
      </x:c>
      <x:c r="R340" s="5" t="inlineStr">
        <x:is>
          <x:t xml:space="preserve">Low</x:t>
        </x:is>
      </x:c>
      <x:c r="S340" s="5" t="inlineStr">
        <x:is>
          <x:t xml:space="preserve">Medium</x:t>
        </x:is>
      </x:c>
      <x:c r="T340" s="5" t="inlineStr">
        <x:is>
          <x:t xml:space="preserve">ChatGPT/Claude planning + external music tools</x:t>
        </x:is>
      </x:c>
      <x:c r="U340" s="5" t="inlineStr">
        <x:is>
          <x:t xml:space="preserve">Medium</x:t>
        </x:is>
      </x:c>
      <x:c r="V340" s="10" t="n">
        <x:v>2</x:v>
      </x:c>
      <x:c r="W340" s="5" t="inlineStr">
        <x:is>
          <x:t xml:space="preserve">Creative coaching + workflow review</x:t>
        </x:is>
      </x:c>
      <x:c r="X340" s="5" t="inlineStr">
        <x:is>
          <x:t xml:space="preserve">practice plan / composition guide / arrangement brief</x:t>
        </x:is>
      </x:c>
      <x:c r="Y340" s="5" t="inlineStr">
        <x:is>
          <x:t xml:space="preserve">Output helps create or learn music in a concrete, musically coherent way.</x:t>
        </x:is>
      </x:c>
      <x:c r="Z340" s="5" t="inlineStr">
        <x:is>
          <x:t xml:space="preserve">Musically weak suggestions, generic advice, or no usable next step.</x:t>
        </x:is>
      </x:c>
      <x:c r="AA340" s="5" t="inlineStr">
        <x:is>
          <x:t xml:space="preserve">music mode / external tool routing / structured lesson outputs</x:t>
        </x:is>
      </x:c>
      <x:c r="AB340" s="5" t="inlineStr">
        <x:is>
          <x:t xml:space="preserve"/>
        </x:is>
      </x:c>
      <x:c r="AC340" s="5" t="inlineStr">
        <x:is>
          <x:t xml:space="preserve">Music-maker surveys show strong AI usage in parts of workflow, but full-song generation is less appealing; consumer trust remains mixed.</x:t>
        </x:is>
      </x:c>
      <x:c r="AD340" s="5" t="inlineStr">
        <x:is>
          <x:t xml:space="preserve">LANDR study 2025; PRS for Music 2026; Bain media survey 2025</x:t>
        </x:is>
      </x:c>
      <x:c r="AE340" s="11">
        <x:f>IF(O340="High",20,IF(O340="Medium",10,IF(O340="Low",5,0)))+IF(P340="High",20,IF(P340="Medium",10,IF(P340="Low",5,0)))+IF(Q340="High",20,IF(Q340="Medium",10,IF(Q340="Low",5,0)))+IF(R340="High",20,IF(R340="Medium",10,IF(R340="Low",5,0)))+IF(S340="High",20,IF(S340="Medium",10,IF(S340="Low",5,0)))</x:f>
        <x:v>40</x:v>
      </x:c>
      <x:c r="AF340" s="12">
        <x:f>ROUND(H340*0.30+J340*0.25+K340*0.20+(100-AE340)*0.10+(100-(V340*20))*0.15,0)</x:f>
        <x:v>48</x:v>
      </x:c>
      <x:c r="AG340" s="13" t="str">
        <x:f>IF(AF340&gt;=80,"Batch 1",IF(AF340&gt;=70,"Batch 2",IF(AF340&gt;=60,"Batch 3","Backlog")))</x:f>
        <x:v>Backlog</x:v>
      </x:c>
      <x:c r="AH340" t="inlineStr">
        <x:is>
          <x:t xml:space="preserve"/>
        </x:is>
      </x:c>
    </x:row>
    <x:row r="341">
      <x:c r="A341" s="5" t="inlineStr">
        <x:is>
          <x:t xml:space="preserve">GPO-HOM-19</x:t>
        </x:is>
      </x:c>
      <x:c r="B341" s="5" t="n">
        <x:v>337</x:v>
      </x:c>
      <x:c r="C341" s="5" t="inlineStr">
        <x:is>
          <x:t xml:space="preserve">Home &amp; Lifestyle Design</x:t>
        </x:is>
      </x:c>
      <x:c r="D341" s="5" t="inlineStr">
        <x:is>
          <x:t xml:space="preserve">Design</x:t>
        </x:is>
      </x:c>
      <x:c r="E341" s="5" t="inlineStr">
        <x:is>
          <x:t xml:space="preserve">Expansion 150</x:t>
        </x:is>
      </x:c>
      <x:c r="F341" s="5" t="n">
        <x:v>19</x:v>
      </x:c>
      <x:c r="G341" s="5" t="inlineStr">
        <x:is>
          <x:t xml:space="preserve">Create a space plan for guests, family, and future life changes.</x:t>
        </x:is>
      </x:c>
      <x:c r="H341" s="6" t="n">
        <x:v>31</x:v>
      </x:c>
      <x:c r="I341" s="6" t="n">
        <x:v>31</x:v>
      </x:c>
      <x:c r="J341" s="7" t="n">
        <x:v>60</x:v>
      </x:c>
      <x:c r="K341" s="7" t="n">
        <x:v>44</x:v>
      </x:c>
      <x:c r="L341" s="8" t="inlineStr">
        <x:is>
          <x:t xml:space="preserve">UNTESTED</x:t>
        </x:is>
      </x:c>
      <x:c r="M341" s="9" t="inlineStr">
        <x:is>
          <x:t xml:space="preserve">UNTESTED</x:t>
        </x:is>
      </x:c>
      <x:c r="N341" s="5" t="inlineStr">
        <x:is>
          <x:t xml:space="preserve">space planning; product curation; aesthetic reasoning; phased project planning</x:t>
        </x:is>
      </x:c>
      <x:c r="O341" s="5" t="inlineStr">
        <x:is>
          <x:t xml:space="preserve">Medium</x:t>
        </x:is>
      </x:c>
      <x:c r="P341" s="5" t="inlineStr">
        <x:is>
          <x:t xml:space="preserve">High</x:t>
        </x:is>
      </x:c>
      <x:c r="Q341" s="5" t="inlineStr">
        <x:is>
          <x:t xml:space="preserve">Medium</x:t>
        </x:is>
      </x:c>
      <x:c r="R341" s="5" t="inlineStr">
        <x:is>
          <x:t xml:space="preserve">Low</x:t>
        </x:is>
      </x:c>
      <x:c r="S341" s="5" t="inlineStr">
        <x:is>
          <x:t xml:space="preserve">Low</x:t>
        </x:is>
      </x:c>
      <x:c r="T341" s="5" t="inlineStr">
        <x:is>
          <x:t xml:space="preserve">ChatGPT with web; image/design tools later</x:t>
        </x:is>
      </x:c>
      <x:c r="U341" s="5" t="inlineStr">
        <x:is>
          <x:t xml:space="preserve">Medium</x:t>
        </x:is>
      </x:c>
      <x:c r="V341" s="10" t="n">
        <x:v>2</x:v>
      </x:c>
      <x:c r="W341" s="5" t="inlineStr">
        <x:is>
          <x:t xml:space="preserve">Design brief generation + feasibility review</x:t>
        </x:is>
      </x:c>
      <x:c r="X341" s="5" t="inlineStr">
        <x:is>
          <x:t xml:space="preserve">layout / shopping plan / phased upgrade roadmap</x:t>
        </x:is>
      </x:c>
      <x:c r="Y341" s="5" t="inlineStr">
        <x:is>
          <x:t xml:space="preserve">Design plan feels cohesive, practical, and matched to lifestyle goals.</x:t>
        </x:is>
      </x:c>
      <x:c r="Z341" s="5" t="inlineStr">
        <x:is>
          <x:t xml:space="preserve">Pretty but impractical suggestions, no budget logic, or weak taste alignment.</x:t>
        </x:is>
      </x:c>
      <x:c r="AA341" s="5" t="inlineStr">
        <x:is>
          <x:t xml:space="preserve">design preference memory / shopping integration / image workflow</x:t>
        </x:is>
      </x:c>
      <x:c r="AB341" s="5" t="inlineStr">
        <x:is>
          <x:t xml:space="preserve"/>
        </x:is>
      </x:c>
      <x:c r="AC341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41" s="5" t="inlineStr">
        <x:is>
          <x:t xml:space="preserve">ThinkLab 2025 design benchmark; Houzz 2025 AI in construction &amp; design; Canadian Contractor/Mattoboard survey 2025</x:t>
        </x:is>
      </x:c>
      <x:c r="AE341" s="11">
        <x:f>IF(O341="High",20,IF(O341="Medium",10,IF(O341="Low",5,0)))+IF(P341="High",20,IF(P341="Medium",10,IF(P341="Low",5,0)))+IF(Q341="High",20,IF(Q341="Medium",10,IF(Q341="Low",5,0)))+IF(R341="High",20,IF(R341="Medium",10,IF(R341="Low",5,0)))+IF(S341="High",20,IF(S341="Medium",10,IF(S341="Low",5,0)))</x:f>
        <x:v>50</x:v>
      </x:c>
      <x:c r="AF341" s="12">
        <x:f>ROUND(H341*0.30+J341*0.25+K341*0.20+(100-AE341)*0.10+(100-(V341*20))*0.15,0)</x:f>
        <x:v>47</x:v>
      </x:c>
      <x:c r="AG341" s="13" t="str">
        <x:f>IF(AF341&gt;=80,"Batch 1",IF(AF341&gt;=70,"Batch 2",IF(AF341&gt;=60,"Batch 3","Backlog")))</x:f>
        <x:v>Backlog</x:v>
      </x:c>
      <x:c r="AH341" t="inlineStr">
        <x:is>
          <x:t xml:space="preserve"/>
        </x:is>
      </x:c>
    </x:row>
    <x:row r="342">
      <x:c r="A342" s="5" t="inlineStr">
        <x:is>
          <x:t xml:space="preserve">GPO-FIL-15</x:t>
        </x:is>
      </x:c>
      <x:c r="B342" s="5" t="n">
        <x:v>338</x:v>
      </x:c>
      <x:c r="C342" s="5" t="inlineStr">
        <x:is>
          <x:t xml:space="preserve">Filmmaking &amp; Video Production</x:t>
        </x:is>
      </x:c>
      <x:c r="D342" s="5" t="inlineStr">
        <x:is>
          <x:t xml:space="preserve">Create</x:t>
        </x:is>
      </x:c>
      <x:c r="E342" s="5" t="inlineStr">
        <x:is>
          <x:t xml:space="preserve">Expansion 150</x:t>
        </x:is>
      </x:c>
      <x:c r="F342" s="5" t="n">
        <x:v>15</x:v>
      </x:c>
      <x:c r="G342" s="5" t="inlineStr">
        <x:is>
          <x:t xml:space="preserve">Plan legal/ethical guardrails for using AI in this production.</x:t>
        </x:is>
      </x:c>
      <x:c r="H342" s="6" t="n">
        <x:v>40</x:v>
      </x:c>
      <x:c r="I342" s="6" t="n">
        <x:v>40</x:v>
      </x:c>
      <x:c r="J342" s="7" t="n">
        <x:v>47</x:v>
      </x:c>
      <x:c r="K342" s="7" t="n">
        <x:v>43</x:v>
      </x:c>
      <x:c r="L342" s="8" t="inlineStr">
        <x:is>
          <x:t xml:space="preserve">UNTESTED</x:t>
        </x:is>
      </x:c>
      <x:c r="M342" s="9" t="inlineStr">
        <x:is>
          <x:t xml:space="preserve">UNTESTED</x:t>
        </x:is>
      </x:c>
      <x:c r="N342" s="5" t="inlineStr">
        <x:is>
          <x:t xml:space="preserve">shot planning; multimodal coordination; tool routing; production workflow</x:t>
        </x:is>
      </x:c>
      <x:c r="O342" s="5" t="inlineStr">
        <x:is>
          <x:t xml:space="preserve">Low</x:t>
        </x:is>
      </x:c>
      <x:c r="P342" s="5" t="inlineStr">
        <x:is>
          <x:t xml:space="preserve">Medium</x:t>
        </x:is>
      </x:c>
      <x:c r="Q342" s="5" t="inlineStr">
        <x:is>
          <x:t xml:space="preserve">High</x:t>
        </x:is>
      </x:c>
      <x:c r="R342" s="5" t="inlineStr">
        <x:is>
          <x:t xml:space="preserve">High</x:t>
        </x:is>
      </x:c>
      <x:c r="S342" s="5" t="inlineStr">
        <x:is>
          <x:t xml:space="preserve">Medium</x:t>
        </x:is>
      </x:c>
      <x:c r="T342" s="5" t="inlineStr">
        <x:is>
          <x:t xml:space="preserve">Claude planning + external video/image tools</x:t>
        </x:is>
      </x:c>
      <x:c r="U342" s="5" t="inlineStr">
        <x:is>
          <x:t xml:space="preserve">Hard</x:t>
        </x:is>
      </x:c>
      <x:c r="V342" s="10" t="n">
        <x:v>3</x:v>
      </x:c>
      <x:c r="W342" s="5" t="inlineStr">
        <x:is>
          <x:t xml:space="preserve">Workflow plan + asset chain review</x:t>
        </x:is>
      </x:c>
      <x:c r="X342" s="5" t="inlineStr">
        <x:is>
          <x:t xml:space="preserve">shot list / storyboard / production workflow / tool stack recommendation</x:t>
        </x:is>
      </x:c>
      <x:c r="Y342" s="5" t="inlineStr">
        <x:is>
          <x:t xml:space="preserve">Workflow is executable with current tools and preserves consistency across assets.</x:t>
        </x:is>
      </x:c>
      <x:c r="Z342" s="5" t="inlineStr">
        <x:is>
          <x:t xml:space="preserve">Ignores tool limits, no consistency strategy, or vague production logic.</x:t>
        </x:is>
      </x:c>
      <x:c r="AA342" s="5" t="inlineStr">
        <x:is>
          <x:t xml:space="preserve">multimodal orchestration / provider routing / asset schema</x:t>
        </x:is>
      </x:c>
      <x:c r="AB342" s="5" t="inlineStr">
        <x:is>
          <x:t xml:space="preserve"/>
        </x:is>
      </x:c>
      <x:c r="AC342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42" s="5" t="inlineStr">
        <x:is>
          <x:t xml:space="preserve">Wondercraft/Digiday creator workflow survey 2025; Artificial Analysis generative media survey 2025; Reuters/Canal+ 2026</x:t>
        </x:is>
      </x:c>
      <x:c r="AE342" s="11">
        <x:f>IF(O342="High",20,IF(O342="Medium",10,IF(O342="Low",5,0)))+IF(P342="High",20,IF(P342="Medium",10,IF(P342="Low",5,0)))+IF(Q342="High",20,IF(Q342="Medium",10,IF(Q342="Low",5,0)))+IF(R342="High",20,IF(R342="Medium",10,IF(R342="Low",5,0)))+IF(S342="High",20,IF(S342="Medium",10,IF(S342="Low",5,0)))</x:f>
        <x:v>65</x:v>
      </x:c>
      <x:c r="AF342" s="12">
        <x:f>ROUND(H342*0.30+J342*0.25+K342*0.20+(100-AE342)*0.10+(100-(V342*20))*0.15,0)</x:f>
        <x:v>42</x:v>
      </x:c>
      <x:c r="AG342" s="13" t="str">
        <x:f>IF(AF342&gt;=80,"Batch 1",IF(AF342&gt;=70,"Batch 2",IF(AF342&gt;=60,"Batch 3","Backlog")))</x:f>
        <x:v>Backlog</x:v>
      </x:c>
      <x:c r="AH342" t="inlineStr">
        <x:is>
          <x:t xml:space="preserve"/>
        </x:is>
      </x:c>
    </x:row>
    <x:row r="343">
      <x:c r="A343" s="5" t="inlineStr">
        <x:is>
          <x:t xml:space="preserve">GPO-HOM-24</x:t>
        </x:is>
      </x:c>
      <x:c r="B343" s="5" t="n">
        <x:v>339</x:v>
      </x:c>
      <x:c r="C343" s="5" t="inlineStr">
        <x:is>
          <x:t xml:space="preserve">Home &amp; Lifestyle Design</x:t>
        </x:is>
      </x:c>
      <x:c r="D343" s="5" t="inlineStr">
        <x:is>
          <x:t xml:space="preserve">Design</x:t>
        </x:is>
      </x:c>
      <x:c r="E343" s="5" t="inlineStr">
        <x:is>
          <x:t xml:space="preserve">Stretch 60</x:t>
        </x:is>
      </x:c>
      <x:c r="F343" s="5" t="n">
        <x:v>24</x:v>
      </x:c>
      <x:c r="G343" s="5" t="inlineStr">
        <x:is>
          <x:t xml:space="preserve">Translate inspiration boards into concrete specs, materials, vendors, and phased execution.</x:t>
        </x:is>
      </x:c>
      <x:c r="H343" s="6" t="n">
        <x:v>38</x:v>
      </x:c>
      <x:c r="I343" s="6" t="n">
        <x:v>38</x:v>
      </x:c>
      <x:c r="J343" s="7" t="n">
        <x:v>49</x:v>
      </x:c>
      <x:c r="K343" s="7" t="n">
        <x:v>43</x:v>
      </x:c>
      <x:c r="L343" s="8" t="inlineStr">
        <x:is>
          <x:t xml:space="preserve">UNTESTED</x:t>
        </x:is>
      </x:c>
      <x:c r="M343" s="9" t="inlineStr">
        <x:is>
          <x:t xml:space="preserve">UNTESTED</x:t>
        </x:is>
      </x:c>
      <x:c r="N343" s="5" t="inlineStr">
        <x:is>
          <x:t xml:space="preserve">space planning; product curation; aesthetic reasoning; phased project planning</x:t>
        </x:is>
      </x:c>
      <x:c r="O343" s="5" t="inlineStr">
        <x:is>
          <x:t xml:space="preserve">Medium</x:t>
        </x:is>
      </x:c>
      <x:c r="P343" s="5" t="inlineStr">
        <x:is>
          <x:t xml:space="preserve">High</x:t>
        </x:is>
      </x:c>
      <x:c r="Q343" s="5" t="inlineStr">
        <x:is>
          <x:t xml:space="preserve">Medium</x:t>
        </x:is>
      </x:c>
      <x:c r="R343" s="5" t="inlineStr">
        <x:is>
          <x:t xml:space="preserve">Low</x:t>
        </x:is>
      </x:c>
      <x:c r="S343" s="5" t="inlineStr">
        <x:is>
          <x:t xml:space="preserve">Low</x:t>
        </x:is>
      </x:c>
      <x:c r="T343" s="5" t="inlineStr">
        <x:is>
          <x:t xml:space="preserve">ChatGPT with web; image/design tools later</x:t>
        </x:is>
      </x:c>
      <x:c r="U343" s="5" t="inlineStr">
        <x:is>
          <x:t xml:space="preserve">Hard</x:t>
        </x:is>
      </x:c>
      <x:c r="V343" s="10" t="n">
        <x:v>3</x:v>
      </x:c>
      <x:c r="W343" s="5" t="inlineStr">
        <x:is>
          <x:t xml:space="preserve">Design brief generation + feasibility review</x:t>
        </x:is>
      </x:c>
      <x:c r="X343" s="5" t="inlineStr">
        <x:is>
          <x:t xml:space="preserve">layout / shopping plan / phased upgrade roadmap</x:t>
        </x:is>
      </x:c>
      <x:c r="Y343" s="5" t="inlineStr">
        <x:is>
          <x:t xml:space="preserve">Design plan feels cohesive, practical, and matched to lifestyle goals.</x:t>
        </x:is>
      </x:c>
      <x:c r="Z343" s="5" t="inlineStr">
        <x:is>
          <x:t xml:space="preserve">Pretty but impractical suggestions, no budget logic, or weak taste alignment.</x:t>
        </x:is>
      </x:c>
      <x:c r="AA343" s="5" t="inlineStr">
        <x:is>
          <x:t xml:space="preserve">design preference memory / shopping integration / image workflow</x:t>
        </x:is>
      </x:c>
      <x:c r="AB343" s="5" t="inlineStr">
        <x:is>
          <x:t xml:space="preserve"/>
        </x:is>
      </x:c>
      <x:c r="AC343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43" s="5" t="inlineStr">
        <x:is>
          <x:t xml:space="preserve">ThinkLab 2025 design benchmark; Houzz 2025 AI in construction &amp; design; Canadian Contractor/Mattoboard survey 2025</x:t>
        </x:is>
      </x:c>
      <x:c r="AE343" s="11">
        <x:f>IF(O343="High",20,IF(O343="Medium",10,IF(O343="Low",5,0)))+IF(P343="High",20,IF(P343="Medium",10,IF(P343="Low",5,0)))+IF(Q343="High",20,IF(Q343="Medium",10,IF(Q343="Low",5,0)))+IF(R343="High",20,IF(R343="Medium",10,IF(R343="Low",5,0)))+IF(S343="High",20,IF(S343="Medium",10,IF(S343="Low",5,0)))</x:f>
        <x:v>50</x:v>
      </x:c>
      <x:c r="AF343" s="12">
        <x:f>ROUND(H343*0.30+J343*0.25+K343*0.20+(100-AE343)*0.10+(100-(V343*20))*0.15,0)</x:f>
        <x:v>43</x:v>
      </x:c>
      <x:c r="AG343" s="13" t="str">
        <x:f>IF(AF343&gt;=80,"Batch 1",IF(AF343&gt;=70,"Batch 2",IF(AF343&gt;=60,"Batch 3","Backlog")))</x:f>
        <x:v>Backlog</x:v>
      </x:c>
      <x:c r="AH343" t="inlineStr">
        <x:is>
          <x:t xml:space="preserve"/>
        </x:is>
      </x:c>
    </x:row>
    <x:row r="344">
      <x:c r="A344" s="5" t="inlineStr">
        <x:is>
          <x:t xml:space="preserve">GPO-MUS-21</x:t>
        </x:is>
      </x:c>
      <x:c r="B344" s="5" t="n">
        <x:v>340</x:v>
      </x:c>
      <x:c r="C344" s="5" t="inlineStr">
        <x:is>
          <x:t xml:space="preserve">Music &amp; Audio Creation</x:t>
        </x:is>
      </x:c>
      <x:c r="D344" s="5" t="inlineStr">
        <x:is>
          <x:t xml:space="preserve">Create</x:t>
        </x:is>
      </x:c>
      <x:c r="E344" s="5" t="inlineStr">
        <x:is>
          <x:t xml:space="preserve">Stretch 60</x:t>
        </x:is>
      </x:c>
      <x:c r="F344" s="5" t="n">
        <x:v>21</x:v>
      </x:c>
      <x:c r="G344" s="5" t="inlineStr">
        <x:is>
          <x:t xml:space="preserve">Build a music-learning system that combines theory, practice, ear training, and creative output.</x:t>
        </x:is>
      </x:c>
      <x:c r="H344" s="6" t="n">
        <x:v>38</x:v>
      </x:c>
      <x:c r="I344" s="6" t="n">
        <x:v>38</x:v>
      </x:c>
      <x:c r="J344" s="7" t="n">
        <x:v>49</x:v>
      </x:c>
      <x:c r="K344" s="7" t="n">
        <x:v>43</x:v>
      </x:c>
      <x:c r="L344" s="8" t="inlineStr">
        <x:is>
          <x:t xml:space="preserve">UNTESTED</x:t>
        </x:is>
      </x:c>
      <x:c r="M344" s="9" t="inlineStr">
        <x:is>
          <x:t xml:space="preserve">UNTESTED</x:t>
        </x:is>
      </x:c>
      <x:c r="N344" s="5" t="inlineStr">
        <x:is>
          <x:t xml:space="preserve">theory help; composition support; practice coaching; audio workflow planning</x:t>
        </x:is>
      </x:c>
      <x:c r="O344" s="5" t="inlineStr">
        <x:is>
          <x:t xml:space="preserve">Low</x:t>
        </x:is>
      </x:c>
      <x:c r="P344" s="5" t="inlineStr">
        <x:is>
          <x:t xml:space="preserve">Medium</x:t>
        </x:is>
      </x:c>
      <x:c r="Q344" s="5" t="inlineStr">
        <x:is>
          <x:t xml:space="preserve">Medium</x:t>
        </x:is>
      </x:c>
      <x:c r="R344" s="5" t="inlineStr">
        <x:is>
          <x:t xml:space="preserve">Low</x:t>
        </x:is>
      </x:c>
      <x:c r="S344" s="5" t="inlineStr">
        <x:is>
          <x:t xml:space="preserve">Medium</x:t>
        </x:is>
      </x:c>
      <x:c r="T344" s="5" t="inlineStr">
        <x:is>
          <x:t xml:space="preserve">ChatGPT/Claude planning + external music tools</x:t>
        </x:is>
      </x:c>
      <x:c r="U344" s="5" t="inlineStr">
        <x:is>
          <x:t xml:space="preserve">Hard</x:t>
        </x:is>
      </x:c>
      <x:c r="V344" s="10" t="n">
        <x:v>3</x:v>
      </x:c>
      <x:c r="W344" s="5" t="inlineStr">
        <x:is>
          <x:t xml:space="preserve">Creative coaching + workflow review</x:t>
        </x:is>
      </x:c>
      <x:c r="X344" s="5" t="inlineStr">
        <x:is>
          <x:t xml:space="preserve">practice plan / composition guide / arrangement brief</x:t>
        </x:is>
      </x:c>
      <x:c r="Y344" s="5" t="inlineStr">
        <x:is>
          <x:t xml:space="preserve">Output helps create or learn music in a concrete, musically coherent way.</x:t>
        </x:is>
      </x:c>
      <x:c r="Z344" s="5" t="inlineStr">
        <x:is>
          <x:t xml:space="preserve">Musically weak suggestions, generic advice, or no usable next step.</x:t>
        </x:is>
      </x:c>
      <x:c r="AA344" s="5" t="inlineStr">
        <x:is>
          <x:t xml:space="preserve">music mode / external tool routing / structured lesson outputs</x:t>
        </x:is>
      </x:c>
      <x:c r="AB344" s="5" t="inlineStr">
        <x:is>
          <x:t xml:space="preserve"/>
        </x:is>
      </x:c>
      <x:c r="AC344" s="5" t="inlineStr">
        <x:is>
          <x:t xml:space="preserve">Music-maker surveys show strong AI usage in parts of workflow, but full-song generation is less appealing; consumer trust remains mixed.</x:t>
        </x:is>
      </x:c>
      <x:c r="AD344" s="5" t="inlineStr">
        <x:is>
          <x:t xml:space="preserve">LANDR study 2025; PRS for Music 2026; Bain media survey 2025</x:t>
        </x:is>
      </x:c>
      <x:c r="AE344" s="11">
        <x:f>IF(O344="High",20,IF(O344="Medium",10,IF(O344="Low",5,0)))+IF(P344="High",20,IF(P344="Medium",10,IF(P344="Low",5,0)))+IF(Q344="High",20,IF(Q344="Medium",10,IF(Q344="Low",5,0)))+IF(R344="High",20,IF(R344="Medium",10,IF(R344="Low",5,0)))+IF(S344="High",20,IF(S344="Medium",10,IF(S344="Low",5,0)))</x:f>
        <x:v>40</x:v>
      </x:c>
      <x:c r="AF344" s="12">
        <x:f>ROUND(H344*0.30+J344*0.25+K344*0.20+(100-AE344)*0.10+(100-(V344*20))*0.15,0)</x:f>
        <x:v>44</x:v>
      </x:c>
      <x:c r="AG344" s="13" t="str">
        <x:f>IF(AF344&gt;=80,"Batch 1",IF(AF344&gt;=70,"Batch 2",IF(AF344&gt;=60,"Batch 3","Backlog")))</x:f>
        <x:v>Backlog</x:v>
      </x:c>
      <x:c r="AH344" t="inlineStr">
        <x:is>
          <x:t xml:space="preserve"/>
        </x:is>
      </x:c>
    </x:row>
    <x:row r="345">
      <x:c r="A345" s="5" t="inlineStr">
        <x:is>
          <x:t xml:space="preserve">GPO-MUS-17</x:t>
        </x:is>
      </x:c>
      <x:c r="B345" s="5" t="n">
        <x:v>341</x:v>
      </x:c>
      <x:c r="C345" s="5" t="inlineStr">
        <x:is>
          <x:t xml:space="preserve">Music &amp; Audio Creation</x:t>
        </x:is>
      </x:c>
      <x:c r="D345" s="5" t="inlineStr">
        <x:is>
          <x:t xml:space="preserve">Create</x:t>
        </x:is>
      </x:c>
      <x:c r="E345" s="5" t="inlineStr">
        <x:is>
          <x:t xml:space="preserve">Expansion 150</x:t>
        </x:is>
      </x:c>
      <x:c r="F345" s="5" t="n">
        <x:v>17</x:v>
      </x:c>
      <x:c r="G345" s="5" t="inlineStr">
        <x:is>
          <x:t xml:space="preserve">Help me write lyrics that feel natural and not cringe.</x:t>
        </x:is>
      </x:c>
      <x:c r="H345" s="6" t="n">
        <x:v>35</x:v>
      </x:c>
      <x:c r="I345" s="6" t="n">
        <x:v>35</x:v>
      </x:c>
      <x:c r="J345" s="7" t="n">
        <x:v>52</x:v>
      </x:c>
      <x:c r="K345" s="7" t="n">
        <x:v>43</x:v>
      </x:c>
      <x:c r="L345" s="8" t="inlineStr">
        <x:is>
          <x:t xml:space="preserve">UNTESTED</x:t>
        </x:is>
      </x:c>
      <x:c r="M345" s="9" t="inlineStr">
        <x:is>
          <x:t xml:space="preserve">UNTESTED</x:t>
        </x:is>
      </x:c>
      <x:c r="N345" s="5" t="inlineStr">
        <x:is>
          <x:t xml:space="preserve">theory help; composition support; practice coaching; audio workflow planning</x:t>
        </x:is>
      </x:c>
      <x:c r="O345" s="5" t="inlineStr">
        <x:is>
          <x:t xml:space="preserve">Low</x:t>
        </x:is>
      </x:c>
      <x:c r="P345" s="5" t="inlineStr">
        <x:is>
          <x:t xml:space="preserve">Medium</x:t>
        </x:is>
      </x:c>
      <x:c r="Q345" s="5" t="inlineStr">
        <x:is>
          <x:t xml:space="preserve">Medium</x:t>
        </x:is>
      </x:c>
      <x:c r="R345" s="5" t="inlineStr">
        <x:is>
          <x:t xml:space="preserve">Low</x:t>
        </x:is>
      </x:c>
      <x:c r="S345" s="5" t="inlineStr">
        <x:is>
          <x:t xml:space="preserve">Medium</x:t>
        </x:is>
      </x:c>
      <x:c r="T345" s="5" t="inlineStr">
        <x:is>
          <x:t xml:space="preserve">ChatGPT/Claude planning + external music tools</x:t>
        </x:is>
      </x:c>
      <x:c r="U345" s="5" t="inlineStr">
        <x:is>
          <x:t xml:space="preserve">Medium</x:t>
        </x:is>
      </x:c>
      <x:c r="V345" s="10" t="n">
        <x:v>2</x:v>
      </x:c>
      <x:c r="W345" s="5" t="inlineStr">
        <x:is>
          <x:t xml:space="preserve">Creative coaching + workflow review</x:t>
        </x:is>
      </x:c>
      <x:c r="X345" s="5" t="inlineStr">
        <x:is>
          <x:t xml:space="preserve">practice plan / composition guide / arrangement brief</x:t>
        </x:is>
      </x:c>
      <x:c r="Y345" s="5" t="inlineStr">
        <x:is>
          <x:t xml:space="preserve">Output helps create or learn music in a concrete, musically coherent way.</x:t>
        </x:is>
      </x:c>
      <x:c r="Z345" s="5" t="inlineStr">
        <x:is>
          <x:t xml:space="preserve">Musically weak suggestions, generic advice, or no usable next step.</x:t>
        </x:is>
      </x:c>
      <x:c r="AA345" s="5" t="inlineStr">
        <x:is>
          <x:t xml:space="preserve">music mode / external tool routing / structured lesson outputs</x:t>
        </x:is>
      </x:c>
      <x:c r="AB345" s="5" t="inlineStr">
        <x:is>
          <x:t xml:space="preserve"/>
        </x:is>
      </x:c>
      <x:c r="AC345" s="5" t="inlineStr">
        <x:is>
          <x:t xml:space="preserve">Music-maker surveys show strong AI usage in parts of workflow, but full-song generation is less appealing; consumer trust remains mixed.</x:t>
        </x:is>
      </x:c>
      <x:c r="AD345" s="5" t="inlineStr">
        <x:is>
          <x:t xml:space="preserve">LANDR study 2025; PRS for Music 2026; Bain media survey 2025</x:t>
        </x:is>
      </x:c>
      <x:c r="AE345" s="11">
        <x:f>IF(O345="High",20,IF(O345="Medium",10,IF(O345="Low",5,0)))+IF(P345="High",20,IF(P345="Medium",10,IF(P345="Low",5,0)))+IF(Q345="High",20,IF(Q345="Medium",10,IF(Q345="Low",5,0)))+IF(R345="High",20,IF(R345="Medium",10,IF(R345="Low",5,0)))+IF(S345="High",20,IF(S345="Medium",10,IF(S345="Low",5,0)))</x:f>
        <x:v>40</x:v>
      </x:c>
      <x:c r="AF345" s="12">
        <x:f>ROUND(H345*0.30+J345*0.25+K345*0.20+(100-AE345)*0.10+(100-(V345*20))*0.15,0)</x:f>
        <x:v>47</x:v>
      </x:c>
      <x:c r="AG345" s="13" t="str">
        <x:f>IF(AF345&gt;=80,"Batch 1",IF(AF345&gt;=70,"Batch 2",IF(AF345&gt;=60,"Batch 3","Backlog")))</x:f>
        <x:v>Backlog</x:v>
      </x:c>
      <x:c r="AH345" t="inlineStr">
        <x:is>
          <x:t xml:space="preserve"/>
        </x:is>
      </x:c>
    </x:row>
    <x:row r="346">
      <x:c r="A346" s="5" t="inlineStr">
        <x:is>
          <x:t xml:space="preserve">GPO-HOM-20</x:t>
        </x:is>
      </x:c>
      <x:c r="B346" s="5" t="n">
        <x:v>342</x:v>
      </x:c>
      <x:c r="C346" s="5" t="inlineStr">
        <x:is>
          <x:t xml:space="preserve">Home &amp; Lifestyle Design</x:t>
        </x:is>
      </x:c>
      <x:c r="D346" s="5" t="inlineStr">
        <x:is>
          <x:t xml:space="preserve">Design</x:t>
        </x:is>
      </x:c>
      <x:c r="E346" s="5" t="inlineStr">
        <x:is>
          <x:t xml:space="preserve">Expansion 150</x:t>
        </x:is>
      </x:c>
      <x:c r="F346" s="5" t="n">
        <x:v>20</x:v>
      </x:c>
      <x:c r="G346" s="5" t="inlineStr">
        <x:is>
          <x:t xml:space="preserve">Design a lifestyle system where the home makes my routines easier, not harder.</x:t>
        </x:is>
      </x:c>
      <x:c r="H346" s="6" t="n">
        <x:v>30</x:v>
      </x:c>
      <x:c r="I346" s="6" t="n">
        <x:v>30</x:v>
      </x:c>
      <x:c r="J346" s="7" t="n">
        <x:v>59</x:v>
      </x:c>
      <x:c r="K346" s="7" t="n">
        <x:v>43</x:v>
      </x:c>
      <x:c r="L346" s="8" t="inlineStr">
        <x:is>
          <x:t xml:space="preserve">UNTESTED</x:t>
        </x:is>
      </x:c>
      <x:c r="M346" s="9" t="inlineStr">
        <x:is>
          <x:t xml:space="preserve">UNTESTED</x:t>
        </x:is>
      </x:c>
      <x:c r="N346" s="5" t="inlineStr">
        <x:is>
          <x:t xml:space="preserve">space planning; product curation; aesthetic reasoning; phased project planning</x:t>
        </x:is>
      </x:c>
      <x:c r="O346" s="5" t="inlineStr">
        <x:is>
          <x:t xml:space="preserve">Medium</x:t>
        </x:is>
      </x:c>
      <x:c r="P346" s="5" t="inlineStr">
        <x:is>
          <x:t xml:space="preserve">High</x:t>
        </x:is>
      </x:c>
      <x:c r="Q346" s="5" t="inlineStr">
        <x:is>
          <x:t xml:space="preserve">Medium</x:t>
        </x:is>
      </x:c>
      <x:c r="R346" s="5" t="inlineStr">
        <x:is>
          <x:t xml:space="preserve">Low</x:t>
        </x:is>
      </x:c>
      <x:c r="S346" s="5" t="inlineStr">
        <x:is>
          <x:t xml:space="preserve">Low</x:t>
        </x:is>
      </x:c>
      <x:c r="T346" s="5" t="inlineStr">
        <x:is>
          <x:t xml:space="preserve">ChatGPT with web; image/design tools later</x:t>
        </x:is>
      </x:c>
      <x:c r="U346" s="5" t="inlineStr">
        <x:is>
          <x:t xml:space="preserve">Medium</x:t>
        </x:is>
      </x:c>
      <x:c r="V346" s="10" t="n">
        <x:v>2</x:v>
      </x:c>
      <x:c r="W346" s="5" t="inlineStr">
        <x:is>
          <x:t xml:space="preserve">Design brief generation + feasibility review</x:t>
        </x:is>
      </x:c>
      <x:c r="X346" s="5" t="inlineStr">
        <x:is>
          <x:t xml:space="preserve">layout / shopping plan / phased upgrade roadmap</x:t>
        </x:is>
      </x:c>
      <x:c r="Y346" s="5" t="inlineStr">
        <x:is>
          <x:t xml:space="preserve">Design plan feels cohesive, practical, and matched to lifestyle goals.</x:t>
        </x:is>
      </x:c>
      <x:c r="Z346" s="5" t="inlineStr">
        <x:is>
          <x:t xml:space="preserve">Pretty but impractical suggestions, no budget logic, or weak taste alignment.</x:t>
        </x:is>
      </x:c>
      <x:c r="AA346" s="5" t="inlineStr">
        <x:is>
          <x:t xml:space="preserve">design preference memory / shopping integration / image workflow</x:t>
        </x:is>
      </x:c>
      <x:c r="AB346" s="5" t="inlineStr">
        <x:is>
          <x:t xml:space="preserve"/>
        </x:is>
      </x:c>
      <x:c r="AC346" s="5" t="inlineStr">
        <x:is>
          <x:t xml:space="preserve">Home/interior design AI surveys show one-third to majority adoption among designers depending on cohort; designers want visualization, material selection, and real-world translation.</x:t>
        </x:is>
      </x:c>
      <x:c r="AD346" s="5" t="inlineStr">
        <x:is>
          <x:t xml:space="preserve">ThinkLab 2025 design benchmark; Houzz 2025 AI in construction &amp; design; Canadian Contractor/Mattoboard survey 2025</x:t>
        </x:is>
      </x:c>
      <x:c r="AE346" s="11">
        <x:f>IF(O346="High",20,IF(O346="Medium",10,IF(O346="Low",5,0)))+IF(P346="High",20,IF(P346="Medium",10,IF(P346="Low",5,0)))+IF(Q346="High",20,IF(Q346="Medium",10,IF(Q346="Low",5,0)))+IF(R346="High",20,IF(R346="Medium",10,IF(R346="Low",5,0)))+IF(S346="High",20,IF(S346="Medium",10,IF(S346="Low",5,0)))</x:f>
        <x:v>50</x:v>
      </x:c>
      <x:c r="AF346" s="12">
        <x:f>ROUND(H346*0.30+J346*0.25+K346*0.20+(100-AE346)*0.10+(100-(V346*20))*0.15,0)</x:f>
        <x:v>46</x:v>
      </x:c>
      <x:c r="AG346" s="13" t="str">
        <x:f>IF(AF346&gt;=80,"Batch 1",IF(AF346&gt;=70,"Batch 2",IF(AF346&gt;=60,"Batch 3","Backlog")))</x:f>
        <x:v>Backlog</x:v>
      </x:c>
      <x:c r="AH346" t="inlineStr">
        <x:is>
          <x:t xml:space="preserve"/>
        </x:is>
      </x:c>
    </x:row>
    <x:row r="347">
      <x:c r="A347" s="5" t="inlineStr">
        <x:is>
          <x:t xml:space="preserve">GPO-FIL-16</x:t>
        </x:is>
      </x:c>
      <x:c r="B347" s="5" t="n">
        <x:v>343</x:v>
      </x:c>
      <x:c r="C347" s="5" t="inlineStr">
        <x:is>
          <x:t xml:space="preserve">Filmmaking &amp; Video Production</x:t>
        </x:is>
      </x:c>
      <x:c r="D347" s="5" t="inlineStr">
        <x:is>
          <x:t xml:space="preserve">Create</x:t>
        </x:is>
      </x:c>
      <x:c r="E347" s="5" t="inlineStr">
        <x:is>
          <x:t xml:space="preserve">Expansion 150</x:t>
        </x:is>
      </x:c>
      <x:c r="F347" s="5" t="n">
        <x:v>16</x:v>
      </x:c>
      <x:c r="G347" s="5" t="inlineStr">
        <x:is>
          <x:t xml:space="preserve">Help me create a video content engine for marketing/social from one filming session.</x:t>
        </x:is>
      </x:c>
      <x:c r="H347" s="6" t="n">
        <x:v>39</x:v>
      </x:c>
      <x:c r="I347" s="6" t="n">
        <x:v>39</x:v>
      </x:c>
      <x:c r="J347" s="7" t="n">
        <x:v>46</x:v>
      </x:c>
      <x:c r="K347" s="7" t="n">
        <x:v>42</x:v>
      </x:c>
      <x:c r="L347" s="8" t="inlineStr">
        <x:is>
          <x:t xml:space="preserve">UNTESTED</x:t>
        </x:is>
      </x:c>
      <x:c r="M347" s="9" t="inlineStr">
        <x:is>
          <x:t xml:space="preserve">UNTESTED</x:t>
        </x:is>
      </x:c>
      <x:c r="N347" s="5" t="inlineStr">
        <x:is>
          <x:t xml:space="preserve">shot planning; multimodal coordination; tool routing; production workflow</x:t>
        </x:is>
      </x:c>
      <x:c r="O347" s="5" t="inlineStr">
        <x:is>
          <x:t xml:space="preserve">Low</x:t>
        </x:is>
      </x:c>
      <x:c r="P347" s="5" t="inlineStr">
        <x:is>
          <x:t xml:space="preserve">Medium</x:t>
        </x:is>
      </x:c>
      <x:c r="Q347" s="5" t="inlineStr">
        <x:is>
          <x:t xml:space="preserve">High</x:t>
        </x:is>
      </x:c>
      <x:c r="R347" s="5" t="inlineStr">
        <x:is>
          <x:t xml:space="preserve">High</x:t>
        </x:is>
      </x:c>
      <x:c r="S347" s="5" t="inlineStr">
        <x:is>
          <x:t xml:space="preserve">Medium</x:t>
        </x:is>
      </x:c>
      <x:c r="T347" s="5" t="inlineStr">
        <x:is>
          <x:t xml:space="preserve">Claude planning + external video/image tools</x:t>
        </x:is>
      </x:c>
      <x:c r="U347" s="5" t="inlineStr">
        <x:is>
          <x:t xml:space="preserve">Hard</x:t>
        </x:is>
      </x:c>
      <x:c r="V347" s="10" t="n">
        <x:v>3</x:v>
      </x:c>
      <x:c r="W347" s="5" t="inlineStr">
        <x:is>
          <x:t xml:space="preserve">Workflow plan + asset chain review</x:t>
        </x:is>
      </x:c>
      <x:c r="X347" s="5" t="inlineStr">
        <x:is>
          <x:t xml:space="preserve">shot list / storyboard / production workflow / tool stack recommendation</x:t>
        </x:is>
      </x:c>
      <x:c r="Y347" s="5" t="inlineStr">
        <x:is>
          <x:t xml:space="preserve">Workflow is executable with current tools and preserves consistency across assets.</x:t>
        </x:is>
      </x:c>
      <x:c r="Z347" s="5" t="inlineStr">
        <x:is>
          <x:t xml:space="preserve">Ignores tool limits, no consistency strategy, or vague production logic.</x:t>
        </x:is>
      </x:c>
      <x:c r="AA347" s="5" t="inlineStr">
        <x:is>
          <x:t xml:space="preserve">multimodal orchestration / provider routing / asset schema</x:t>
        </x:is>
      </x:c>
      <x:c r="AB347" s="5" t="inlineStr">
        <x:is>
          <x:t xml:space="preserve"/>
        </x:is>
      </x:c>
      <x:c r="AC347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47" s="5" t="inlineStr">
        <x:is>
          <x:t xml:space="preserve">Wondercraft/Digiday creator workflow survey 2025; Artificial Analysis generative media survey 2025; Reuters/Canal+ 2026</x:t>
        </x:is>
      </x:c>
      <x:c r="AE347" s="11">
        <x:f>IF(O347="High",20,IF(O347="Medium",10,IF(O347="Low",5,0)))+IF(P347="High",20,IF(P347="Medium",10,IF(P347="Low",5,0)))+IF(Q347="High",20,IF(Q347="Medium",10,IF(Q347="Low",5,0)))+IF(R347="High",20,IF(R347="Medium",10,IF(R347="Low",5,0)))+IF(S347="High",20,IF(S347="Medium",10,IF(S347="Low",5,0)))</x:f>
        <x:v>65</x:v>
      </x:c>
      <x:c r="AF347" s="12">
        <x:f>ROUND(H347*0.30+J347*0.25+K347*0.20+(100-AE347)*0.10+(100-(V347*20))*0.15,0)</x:f>
        <x:v>41</x:v>
      </x:c>
      <x:c r="AG347" s="13" t="str">
        <x:f>IF(AF347&gt;=80,"Batch 1",IF(AF347&gt;=70,"Batch 2",IF(AF347&gt;=60,"Batch 3","Backlog")))</x:f>
        <x:v>Backlog</x:v>
      </x:c>
      <x:c r="AH347" t="inlineStr">
        <x:is>
          <x:t xml:space="preserve"/>
        </x:is>
      </x:c>
    </x:row>
    <x:row r="348">
      <x:c r="A348" s="5" t="inlineStr">
        <x:is>
          <x:t xml:space="preserve">GPO-HEA-22</x:t>
        </x:is>
      </x:c>
      <x:c r="B348" s="5" t="n">
        <x:v>344</x:v>
      </x:c>
      <x:c r="C348" s="5" t="inlineStr">
        <x:is>
          <x:t xml:space="preserve">Health &amp; Wellness Coach</x:t>
        </x:is>
      </x:c>
      <x:c r="D348" s="5" t="inlineStr">
        <x:is>
          <x:t xml:space="preserve">Care</x:t>
        </x:is>
      </x:c>
      <x:c r="E348" s="5" t="inlineStr">
        <x:is>
          <x:t xml:space="preserve">Stretch 60</x:t>
        </x:is>
      </x:c>
      <x:c r="F348" s="5" t="n">
        <x:v>22</x:v>
      </x:c>
      <x:c r="G348" s="5" t="inlineStr">
        <x:is>
          <x:t xml:space="preserve">Create a training and nutrition system for body recomposition during a heavy work period.</x:t>
        </x:is>
      </x:c>
      <x:c r="H348" s="6" t="n">
        <x:v>41</x:v>
      </x:c>
      <x:c r="I348" s="6" t="n">
        <x:v>41</x:v>
      </x:c>
      <x:c r="J348" s="7" t="n">
        <x:v>43</x:v>
      </x:c>
      <x:c r="K348" s="7" t="n">
        <x:v>42</x:v>
      </x:c>
      <x:c r="L348" s="8" t="inlineStr">
        <x:is>
          <x:t xml:space="preserve">UNTESTED</x:t>
        </x:is>
      </x:c>
      <x:c r="M348" s="9" t="inlineStr">
        <x:is>
          <x:t xml:space="preserve">UNTESTED</x:t>
        </x:is>
      </x:c>
      <x:c r="N348" s="5" t="inlineStr">
        <x:is>
          <x:t xml:space="preserve">health explanation; risk framing; behavior coaching; careful disclaimer handling</x:t>
        </x:is>
      </x:c>
      <x:c r="O348" s="5" t="inlineStr">
        <x:is>
          <x:t xml:space="preserve">Medium</x:t>
        </x:is>
      </x:c>
      <x:c r="P348" s="5" t="inlineStr">
        <x:is>
          <x:t xml:space="preserve">High</x:t>
        </x:is>
      </x:c>
      <x:c r="Q348" s="5" t="inlineStr">
        <x:is>
          <x:t xml:space="preserve">Low</x:t>
        </x:is>
      </x:c>
      <x:c r="R348" s="5" t="inlineStr">
        <x:is>
          <x:t xml:space="preserve">Low</x:t>
        </x:is>
      </x:c>
      <x:c r="S348" s="5" t="inlineStr">
        <x:is>
          <x:t xml:space="preserve">Medium</x:t>
        </x:is>
      </x:c>
      <x:c r="T348" s="5" t="inlineStr">
        <x:is>
          <x:t xml:space="preserve">ChatGPT primary with careful guardrails</x:t>
        </x:is>
      </x:c>
      <x:c r="U348" s="5" t="inlineStr">
        <x:is>
          <x:t xml:space="preserve">Hard</x:t>
        </x:is>
      </x:c>
      <x:c r="V348" s="10" t="n">
        <x:v>3</x:v>
      </x:c>
      <x:c r="W348" s="5" t="inlineStr">
        <x:is>
          <x:t xml:space="preserve">Scenario prompts + safety review + usefulness review</x:t>
        </x:is>
      </x:c>
      <x:c r="X348" s="5" t="inlineStr">
        <x:is>
          <x:t xml:space="preserve">plan / explanation / checklist / prep brief</x:t>
        </x:is>
      </x:c>
      <x:c r="Y348" s="5" t="inlineStr">
        <x:is>
          <x:t xml:space="preserve">Useful, cautious, practical guidance that stays within safe boundaries.</x:t>
        </x:is>
      </x:c>
      <x:c r="Z348" s="5" t="inlineStr">
        <x:is>
          <x:t xml:space="preserve">Overconfident medical claims, weak escalation guidance, or unsafe advice.</x:t>
        </x:is>
      </x:c>
      <x:c r="AA348" s="5" t="inlineStr">
        <x:is>
          <x:t xml:space="preserve">safety layer / health mode / evidence grounding</x:t>
        </x:is>
      </x:c>
      <x:c r="AB348" s="5" t="inlineStr">
        <x:is>
          <x:t xml:space="preserve"/>
        </x:is>
      </x:c>
      <x:c r="AC348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48" s="5" t="inlineStr">
        <x:is>
          <x:t xml:space="preserve">OpenAI Introducing GPT-5; APPC 2025 health survey; Deloitte Connected Consumer 2025</x:t>
        </x:is>
      </x:c>
      <x:c r="AE348" s="11">
        <x:f>IF(O348="High",20,IF(O348="Medium",10,IF(O348="Low",5,0)))+IF(P348="High",20,IF(P348="Medium",10,IF(P348="Low",5,0)))+IF(Q348="High",20,IF(Q348="Medium",10,IF(Q348="Low",5,0)))+IF(R348="High",20,IF(R348="Medium",10,IF(R348="Low",5,0)))+IF(S348="High",20,IF(S348="Medium",10,IF(S348="Low",5,0)))</x:f>
        <x:v>50</x:v>
      </x:c>
      <x:c r="AF348" s="12">
        <x:f>ROUND(H348*0.30+J348*0.25+K348*0.20+(100-AE348)*0.10+(100-(V348*20))*0.15,0)</x:f>
        <x:v>42</x:v>
      </x:c>
      <x:c r="AG348" s="13" t="str">
        <x:f>IF(AF348&gt;=80,"Batch 1",IF(AF348&gt;=70,"Batch 2",IF(AF348&gt;=60,"Batch 3","Backlog")))</x:f>
        <x:v>Backlog</x:v>
      </x:c>
      <x:c r="AH348" t="inlineStr">
        <x:is>
          <x:t xml:space="preserve"/>
        </x:is>
      </x:c>
    </x:row>
    <x:row r="349">
      <x:c r="A349" s="5" t="inlineStr">
        <x:is>
          <x:t xml:space="preserve">GPO-MUS-22</x:t>
        </x:is>
      </x:c>
      <x:c r="B349" s="5" t="n">
        <x:v>345</x:v>
      </x:c>
      <x:c r="C349" s="5" t="inlineStr">
        <x:is>
          <x:t xml:space="preserve">Music &amp; Audio Creation</x:t>
        </x:is>
      </x:c>
      <x:c r="D349" s="5" t="inlineStr">
        <x:is>
          <x:t xml:space="preserve">Create</x:t>
        </x:is>
      </x:c>
      <x:c r="E349" s="5" t="inlineStr">
        <x:is>
          <x:t xml:space="preserve">Stretch 60</x:t>
        </x:is>
      </x:c>
      <x:c r="F349" s="5" t="n">
        <x:v>22</x:v>
      </x:c>
      <x:c r="G349" s="5" t="inlineStr">
        <x:is>
          <x:t xml:space="preserve">Create a composition workflow for turning film scenes into recurring musical themes.</x:t>
        </x:is>
      </x:c>
      <x:c r="H349" s="6" t="n">
        <x:v>38</x:v>
      </x:c>
      <x:c r="I349" s="6" t="n">
        <x:v>38</x:v>
      </x:c>
      <x:c r="J349" s="7" t="n">
        <x:v>46</x:v>
      </x:c>
      <x:c r="K349" s="7" t="n">
        <x:v>42</x:v>
      </x:c>
      <x:c r="L349" s="8" t="inlineStr">
        <x:is>
          <x:t xml:space="preserve">UNTESTED</x:t>
        </x:is>
      </x:c>
      <x:c r="M349" s="9" t="inlineStr">
        <x:is>
          <x:t xml:space="preserve">UNTESTED</x:t>
        </x:is>
      </x:c>
      <x:c r="N349" s="5" t="inlineStr">
        <x:is>
          <x:t xml:space="preserve">theory help; composition support; practice coaching; audio workflow planning</x:t>
        </x:is>
      </x:c>
      <x:c r="O349" s="5" t="inlineStr">
        <x:is>
          <x:t xml:space="preserve">Low</x:t>
        </x:is>
      </x:c>
      <x:c r="P349" s="5" t="inlineStr">
        <x:is>
          <x:t xml:space="preserve">Medium</x:t>
        </x:is>
      </x:c>
      <x:c r="Q349" s="5" t="inlineStr">
        <x:is>
          <x:t xml:space="preserve">Medium</x:t>
        </x:is>
      </x:c>
      <x:c r="R349" s="5" t="inlineStr">
        <x:is>
          <x:t xml:space="preserve">Low</x:t>
        </x:is>
      </x:c>
      <x:c r="S349" s="5" t="inlineStr">
        <x:is>
          <x:t xml:space="preserve">Medium</x:t>
        </x:is>
      </x:c>
      <x:c r="T349" s="5" t="inlineStr">
        <x:is>
          <x:t xml:space="preserve">ChatGPT/Claude planning + external music tools</x:t>
        </x:is>
      </x:c>
      <x:c r="U349" s="5" t="inlineStr">
        <x:is>
          <x:t xml:space="preserve">Hard</x:t>
        </x:is>
      </x:c>
      <x:c r="V349" s="10" t="n">
        <x:v>3</x:v>
      </x:c>
      <x:c r="W349" s="5" t="inlineStr">
        <x:is>
          <x:t xml:space="preserve">Creative coaching + workflow review</x:t>
        </x:is>
      </x:c>
      <x:c r="X349" s="5" t="inlineStr">
        <x:is>
          <x:t xml:space="preserve">practice plan / composition guide / arrangement brief</x:t>
        </x:is>
      </x:c>
      <x:c r="Y349" s="5" t="inlineStr">
        <x:is>
          <x:t xml:space="preserve">Output helps create or learn music in a concrete, musically coherent way.</x:t>
        </x:is>
      </x:c>
      <x:c r="Z349" s="5" t="inlineStr">
        <x:is>
          <x:t xml:space="preserve">Musically weak suggestions, generic advice, or no usable next step.</x:t>
        </x:is>
      </x:c>
      <x:c r="AA349" s="5" t="inlineStr">
        <x:is>
          <x:t xml:space="preserve">music mode / external tool routing / structured lesson outputs</x:t>
        </x:is>
      </x:c>
      <x:c r="AB349" s="5" t="inlineStr">
        <x:is>
          <x:t xml:space="preserve"/>
        </x:is>
      </x:c>
      <x:c r="AC349" s="5" t="inlineStr">
        <x:is>
          <x:t xml:space="preserve">Music-maker surveys show strong AI usage in parts of workflow, but full-song generation is less appealing; consumer trust remains mixed.</x:t>
        </x:is>
      </x:c>
      <x:c r="AD349" s="5" t="inlineStr">
        <x:is>
          <x:t xml:space="preserve">LANDR study 2025; PRS for Music 2026; Bain media survey 2025</x:t>
        </x:is>
      </x:c>
      <x:c r="AE349" s="11">
        <x:f>IF(O349="High",20,IF(O349="Medium",10,IF(O349="Low",5,0)))+IF(P349="High",20,IF(P349="Medium",10,IF(P349="Low",5,0)))+IF(Q349="High",20,IF(Q349="Medium",10,IF(Q349="Low",5,0)))+IF(R349="High",20,IF(R349="Medium",10,IF(R349="Low",5,0)))+IF(S349="High",20,IF(S349="Medium",10,IF(S349="Low",5,0)))</x:f>
        <x:v>40</x:v>
      </x:c>
      <x:c r="AF349" s="12">
        <x:f>ROUND(H349*0.30+J349*0.25+K349*0.20+(100-AE349)*0.10+(100-(V349*20))*0.15,0)</x:f>
        <x:v>43</x:v>
      </x:c>
      <x:c r="AG349" s="13" t="str">
        <x:f>IF(AF349&gt;=80,"Batch 1",IF(AF349&gt;=70,"Batch 2",IF(AF349&gt;=60,"Batch 3","Backlog")))</x:f>
        <x:v>Backlog</x:v>
      </x:c>
      <x:c r="AH349" t="inlineStr">
        <x:is>
          <x:t xml:space="preserve"/>
        </x:is>
      </x:c>
    </x:row>
    <x:row r="350">
      <x:c r="A350" s="5" t="inlineStr">
        <x:is>
          <x:t xml:space="preserve">GPO-MUS-18</x:t>
        </x:is>
      </x:c>
      <x:c r="B350" s="5" t="n">
        <x:v>346</x:v>
      </x:c>
      <x:c r="C350" s="5" t="inlineStr">
        <x:is>
          <x:t xml:space="preserve">Music &amp; Audio Creation</x:t>
        </x:is>
      </x:c>
      <x:c r="D350" s="5" t="inlineStr">
        <x:is>
          <x:t xml:space="preserve">Create</x:t>
        </x:is>
      </x:c>
      <x:c r="E350" s="5" t="inlineStr">
        <x:is>
          <x:t xml:space="preserve">Expansion 150</x:t>
        </x:is>
      </x:c>
      <x:c r="F350" s="5" t="n">
        <x:v>18</x:v>
      </x:c>
      <x:c r="G350" s="5" t="inlineStr">
        <x:is>
          <x:t xml:space="preserve">Create stems/cue ideas for background score moments across this story.</x:t>
        </x:is>
      </x:c>
      <x:c r="H350" s="6" t="n">
        <x:v>34</x:v>
      </x:c>
      <x:c r="I350" s="6" t="n">
        <x:v>34</x:v>
      </x:c>
      <x:c r="J350" s="7" t="n">
        <x:v>51</x:v>
      </x:c>
      <x:c r="K350" s="7" t="n">
        <x:v>42</x:v>
      </x:c>
      <x:c r="L350" s="8" t="inlineStr">
        <x:is>
          <x:t xml:space="preserve">UNTESTED</x:t>
        </x:is>
      </x:c>
      <x:c r="M350" s="9" t="inlineStr">
        <x:is>
          <x:t xml:space="preserve">UNTESTED</x:t>
        </x:is>
      </x:c>
      <x:c r="N350" s="5" t="inlineStr">
        <x:is>
          <x:t xml:space="preserve">theory help; composition support; practice coaching; audio workflow planning</x:t>
        </x:is>
      </x:c>
      <x:c r="O350" s="5" t="inlineStr">
        <x:is>
          <x:t xml:space="preserve">Low</x:t>
        </x:is>
      </x:c>
      <x:c r="P350" s="5" t="inlineStr">
        <x:is>
          <x:t xml:space="preserve">Medium</x:t>
        </x:is>
      </x:c>
      <x:c r="Q350" s="5" t="inlineStr">
        <x:is>
          <x:t xml:space="preserve">Medium</x:t>
        </x:is>
      </x:c>
      <x:c r="R350" s="5" t="inlineStr">
        <x:is>
          <x:t xml:space="preserve">Low</x:t>
        </x:is>
      </x:c>
      <x:c r="S350" s="5" t="inlineStr">
        <x:is>
          <x:t xml:space="preserve">Medium</x:t>
        </x:is>
      </x:c>
      <x:c r="T350" s="5" t="inlineStr">
        <x:is>
          <x:t xml:space="preserve">ChatGPT/Claude planning + external music tools</x:t>
        </x:is>
      </x:c>
      <x:c r="U350" s="5" t="inlineStr">
        <x:is>
          <x:t xml:space="preserve">Medium</x:t>
        </x:is>
      </x:c>
      <x:c r="V350" s="10" t="n">
        <x:v>2</x:v>
      </x:c>
      <x:c r="W350" s="5" t="inlineStr">
        <x:is>
          <x:t xml:space="preserve">Creative coaching + workflow review</x:t>
        </x:is>
      </x:c>
      <x:c r="X350" s="5" t="inlineStr">
        <x:is>
          <x:t xml:space="preserve">practice plan / composition guide / arrangement brief</x:t>
        </x:is>
      </x:c>
      <x:c r="Y350" s="5" t="inlineStr">
        <x:is>
          <x:t xml:space="preserve">Output helps create or learn music in a concrete, musically coherent way.</x:t>
        </x:is>
      </x:c>
      <x:c r="Z350" s="5" t="inlineStr">
        <x:is>
          <x:t xml:space="preserve">Musically weak suggestions, generic advice, or no usable next step.</x:t>
        </x:is>
      </x:c>
      <x:c r="AA350" s="5" t="inlineStr">
        <x:is>
          <x:t xml:space="preserve">music mode / external tool routing / structured lesson outputs</x:t>
        </x:is>
      </x:c>
      <x:c r="AB350" s="5" t="inlineStr">
        <x:is>
          <x:t xml:space="preserve"/>
        </x:is>
      </x:c>
      <x:c r="AC350" s="5" t="inlineStr">
        <x:is>
          <x:t xml:space="preserve">Music-maker surveys show strong AI usage in parts of workflow, but full-song generation is less appealing; consumer trust remains mixed.</x:t>
        </x:is>
      </x:c>
      <x:c r="AD350" s="5" t="inlineStr">
        <x:is>
          <x:t xml:space="preserve">LANDR study 2025; PRS for Music 2026; Bain media survey 2025</x:t>
        </x:is>
      </x:c>
      <x:c r="AE350" s="11">
        <x:f>IF(O350="High",20,IF(O350="Medium",10,IF(O350="Low",5,0)))+IF(P350="High",20,IF(P350="Medium",10,IF(P350="Low",5,0)))+IF(Q350="High",20,IF(Q350="Medium",10,IF(Q350="Low",5,0)))+IF(R350="High",20,IF(R350="Medium",10,IF(R350="Low",5,0)))+IF(S350="High",20,IF(S350="Medium",10,IF(S350="Low",5,0)))</x:f>
        <x:v>40</x:v>
      </x:c>
      <x:c r="AF350" s="12">
        <x:f>ROUND(H350*0.30+J350*0.25+K350*0.20+(100-AE350)*0.10+(100-(V350*20))*0.15,0)</x:f>
        <x:v>46</x:v>
      </x:c>
      <x:c r="AG350" s="13" t="str">
        <x:f>IF(AF350&gt;=80,"Batch 1",IF(AF350&gt;=70,"Batch 2",IF(AF350&gt;=60,"Batch 3","Backlog")))</x:f>
        <x:v>Backlog</x:v>
      </x:c>
      <x:c r="AH350" t="inlineStr">
        <x:is>
          <x:t xml:space="preserve"/>
        </x:is>
      </x:c>
    </x:row>
    <x:row r="351">
      <x:c r="A351" s="5" t="inlineStr">
        <x:is>
          <x:t xml:space="preserve">GPO-FIL-17</x:t>
        </x:is>
      </x:c>
      <x:c r="B351" s="5" t="n">
        <x:v>347</x:v>
      </x:c>
      <x:c r="C351" s="5" t="inlineStr">
        <x:is>
          <x:t xml:space="preserve">Filmmaking &amp; Video Production</x:t>
        </x:is>
      </x:c>
      <x:c r="D351" s="5" t="inlineStr">
        <x:is>
          <x:t xml:space="preserve">Create</x:t>
        </x:is>
      </x:c>
      <x:c r="E351" s="5" t="inlineStr">
        <x:is>
          <x:t xml:space="preserve">Expansion 150</x:t>
        </x:is>
      </x:c>
      <x:c r="F351" s="5" t="n">
        <x:v>17</x:v>
      </x:c>
      <x:c r="G351" s="5" t="inlineStr">
        <x:is>
          <x:t xml:space="preserve">Turn raw footage/transcripts into a clean edit structure and narrative arc.</x:t>
        </x:is>
      </x:c>
      <x:c r="H351" s="6" t="n">
        <x:v>38</x:v>
      </x:c>
      <x:c r="I351" s="6" t="n">
        <x:v>38</x:v>
      </x:c>
      <x:c r="J351" s="7" t="n">
        <x:v>45</x:v>
      </x:c>
      <x:c r="K351" s="7" t="n">
        <x:v>41</x:v>
      </x:c>
      <x:c r="L351" s="8" t="inlineStr">
        <x:is>
          <x:t xml:space="preserve">UNTESTED</x:t>
        </x:is>
      </x:c>
      <x:c r="M351" s="9" t="inlineStr">
        <x:is>
          <x:t xml:space="preserve">UNTESTED</x:t>
        </x:is>
      </x:c>
      <x:c r="N351" s="5" t="inlineStr">
        <x:is>
          <x:t xml:space="preserve">shot planning; multimodal coordination; tool routing; production workflow</x:t>
        </x:is>
      </x:c>
      <x:c r="O351" s="5" t="inlineStr">
        <x:is>
          <x:t xml:space="preserve">Low</x:t>
        </x:is>
      </x:c>
      <x:c r="P351" s="5" t="inlineStr">
        <x:is>
          <x:t xml:space="preserve">Medium</x:t>
        </x:is>
      </x:c>
      <x:c r="Q351" s="5" t="inlineStr">
        <x:is>
          <x:t xml:space="preserve">High</x:t>
        </x:is>
      </x:c>
      <x:c r="R351" s="5" t="inlineStr">
        <x:is>
          <x:t xml:space="preserve">High</x:t>
        </x:is>
      </x:c>
      <x:c r="S351" s="5" t="inlineStr">
        <x:is>
          <x:t xml:space="preserve">Medium</x:t>
        </x:is>
      </x:c>
      <x:c r="T351" s="5" t="inlineStr">
        <x:is>
          <x:t xml:space="preserve">Claude planning + external video/image tools</x:t>
        </x:is>
      </x:c>
      <x:c r="U351" s="5" t="inlineStr">
        <x:is>
          <x:t xml:space="preserve">Hard</x:t>
        </x:is>
      </x:c>
      <x:c r="V351" s="10" t="n">
        <x:v>3</x:v>
      </x:c>
      <x:c r="W351" s="5" t="inlineStr">
        <x:is>
          <x:t xml:space="preserve">Workflow plan + asset chain review</x:t>
        </x:is>
      </x:c>
      <x:c r="X351" s="5" t="inlineStr">
        <x:is>
          <x:t xml:space="preserve">shot list / storyboard / production workflow / tool stack recommendation</x:t>
        </x:is>
      </x:c>
      <x:c r="Y351" s="5" t="inlineStr">
        <x:is>
          <x:t xml:space="preserve">Workflow is executable with current tools and preserves consistency across assets.</x:t>
        </x:is>
      </x:c>
      <x:c r="Z351" s="5" t="inlineStr">
        <x:is>
          <x:t xml:space="preserve">Ignores tool limits, no consistency strategy, or vague production logic.</x:t>
        </x:is>
      </x:c>
      <x:c r="AA351" s="5" t="inlineStr">
        <x:is>
          <x:t xml:space="preserve">multimodal orchestration / provider routing / asset schema</x:t>
        </x:is>
      </x:c>
      <x:c r="AB351" s="5" t="inlineStr">
        <x:is>
          <x:t xml:space="preserve"/>
        </x:is>
      </x:c>
      <x:c r="AC351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51" s="5" t="inlineStr">
        <x:is>
          <x:t xml:space="preserve">Wondercraft/Digiday creator workflow survey 2025; Artificial Analysis generative media survey 2025; Reuters/Canal+ 2026</x:t>
        </x:is>
      </x:c>
      <x:c r="AE351" s="11">
        <x:f>IF(O351="High",20,IF(O351="Medium",10,IF(O351="Low",5,0)))+IF(P351="High",20,IF(P351="Medium",10,IF(P351="Low",5,0)))+IF(Q351="High",20,IF(Q351="Medium",10,IF(Q351="Low",5,0)))+IF(R351="High",20,IF(R351="Medium",10,IF(R351="Low",5,0)))+IF(S351="High",20,IF(S351="Medium",10,IF(S351="Low",5,0)))</x:f>
        <x:v>65</x:v>
      </x:c>
      <x:c r="AF351" s="12">
        <x:f>ROUND(H351*0.30+J351*0.25+K351*0.20+(100-AE351)*0.10+(100-(V351*20))*0.15,0)</x:f>
        <x:v>40</x:v>
      </x:c>
      <x:c r="AG351" s="13" t="str">
        <x:f>IF(AF351&gt;=80,"Batch 1",IF(AF351&gt;=70,"Batch 2",IF(AF351&gt;=60,"Batch 3","Backlog")))</x:f>
        <x:v>Backlog</x:v>
      </x:c>
      <x:c r="AH351" t="inlineStr">
        <x:is>
          <x:t xml:space="preserve"/>
        </x:is>
      </x:c>
    </x:row>
    <x:row r="352">
      <x:c r="A352" s="5" t="inlineStr">
        <x:is>
          <x:t xml:space="preserve">GPO-MUS-19</x:t>
        </x:is>
      </x:c>
      <x:c r="B352" s="5" t="n">
        <x:v>348</x:v>
      </x:c>
      <x:c r="C352" s="5" t="inlineStr">
        <x:is>
          <x:t xml:space="preserve">Music &amp; Audio Creation</x:t>
        </x:is>
      </x:c>
      <x:c r="D352" s="5" t="inlineStr">
        <x:is>
          <x:t xml:space="preserve">Create</x:t>
        </x:is>
      </x:c>
      <x:c r="E352" s="5" t="inlineStr">
        <x:is>
          <x:t xml:space="preserve">Expansion 150</x:t>
        </x:is>
      </x:c>
      <x:c r="F352" s="5" t="n">
        <x:v>19</x:v>
      </x:c>
      <x:c r="G352" s="5" t="inlineStr">
        <x:is>
          <x:t xml:space="preserve">Tell me what AI can help with in music without killing originality.</x:t>
        </x:is>
      </x:c>
      <x:c r="H352" s="6" t="n">
        <x:v>33</x:v>
      </x:c>
      <x:c r="I352" s="6" t="n">
        <x:v>33</x:v>
      </x:c>
      <x:c r="J352" s="7" t="n">
        <x:v>51</x:v>
      </x:c>
      <x:c r="K352" s="7" t="n">
        <x:v>41</x:v>
      </x:c>
      <x:c r="L352" s="8" t="inlineStr">
        <x:is>
          <x:t xml:space="preserve">UNTESTED</x:t>
        </x:is>
      </x:c>
      <x:c r="M352" s="9" t="inlineStr">
        <x:is>
          <x:t xml:space="preserve">UNTESTED</x:t>
        </x:is>
      </x:c>
      <x:c r="N352" s="5" t="inlineStr">
        <x:is>
          <x:t xml:space="preserve">theory help; composition support; practice coaching; audio workflow planning</x:t>
        </x:is>
      </x:c>
      <x:c r="O352" s="5" t="inlineStr">
        <x:is>
          <x:t xml:space="preserve">Low</x:t>
        </x:is>
      </x:c>
      <x:c r="P352" s="5" t="inlineStr">
        <x:is>
          <x:t xml:space="preserve">Medium</x:t>
        </x:is>
      </x:c>
      <x:c r="Q352" s="5" t="inlineStr">
        <x:is>
          <x:t xml:space="preserve">Medium</x:t>
        </x:is>
      </x:c>
      <x:c r="R352" s="5" t="inlineStr">
        <x:is>
          <x:t xml:space="preserve">Low</x:t>
        </x:is>
      </x:c>
      <x:c r="S352" s="5" t="inlineStr">
        <x:is>
          <x:t xml:space="preserve">Medium</x:t>
        </x:is>
      </x:c>
      <x:c r="T352" s="5" t="inlineStr">
        <x:is>
          <x:t xml:space="preserve">ChatGPT/Claude planning + external music tools</x:t>
        </x:is>
      </x:c>
      <x:c r="U352" s="5" t="inlineStr">
        <x:is>
          <x:t xml:space="preserve">Medium</x:t>
        </x:is>
      </x:c>
      <x:c r="V352" s="10" t="n">
        <x:v>2</x:v>
      </x:c>
      <x:c r="W352" s="5" t="inlineStr">
        <x:is>
          <x:t xml:space="preserve">Creative coaching + workflow review</x:t>
        </x:is>
      </x:c>
      <x:c r="X352" s="5" t="inlineStr">
        <x:is>
          <x:t xml:space="preserve">practice plan / composition guide / arrangement brief</x:t>
        </x:is>
      </x:c>
      <x:c r="Y352" s="5" t="inlineStr">
        <x:is>
          <x:t xml:space="preserve">Output helps create or learn music in a concrete, musically coherent way.</x:t>
        </x:is>
      </x:c>
      <x:c r="Z352" s="5" t="inlineStr">
        <x:is>
          <x:t xml:space="preserve">Musically weak suggestions, generic advice, or no usable next step.</x:t>
        </x:is>
      </x:c>
      <x:c r="AA352" s="5" t="inlineStr">
        <x:is>
          <x:t xml:space="preserve">music mode / external tool routing / structured lesson outputs</x:t>
        </x:is>
      </x:c>
      <x:c r="AB352" s="5" t="inlineStr">
        <x:is>
          <x:t xml:space="preserve"/>
        </x:is>
      </x:c>
      <x:c r="AC352" s="5" t="inlineStr">
        <x:is>
          <x:t xml:space="preserve">Music-maker surveys show strong AI usage in parts of workflow, but full-song generation is less appealing; consumer trust remains mixed.</x:t>
        </x:is>
      </x:c>
      <x:c r="AD352" s="5" t="inlineStr">
        <x:is>
          <x:t xml:space="preserve">LANDR study 2025; PRS for Music 2026; Bain media survey 2025</x:t>
        </x:is>
      </x:c>
      <x:c r="AE352" s="11">
        <x:f>IF(O352="High",20,IF(O352="Medium",10,IF(O352="Low",5,0)))+IF(P352="High",20,IF(P352="Medium",10,IF(P352="Low",5,0)))+IF(Q352="High",20,IF(Q352="Medium",10,IF(Q352="Low",5,0)))+IF(R352="High",20,IF(R352="Medium",10,IF(R352="Low",5,0)))+IF(S352="High",20,IF(S352="Medium",10,IF(S352="Low",5,0)))</x:f>
        <x:v>40</x:v>
      </x:c>
      <x:c r="AF352" s="12">
        <x:f>ROUND(H352*0.30+J352*0.25+K352*0.20+(100-AE352)*0.10+(100-(V352*20))*0.15,0)</x:f>
        <x:v>46</x:v>
      </x:c>
      <x:c r="AG352" s="13" t="str">
        <x:f>IF(AF352&gt;=80,"Batch 1",IF(AF352&gt;=70,"Batch 2",IF(AF352&gt;=60,"Batch 3","Backlog")))</x:f>
        <x:v>Backlog</x:v>
      </x:c>
      <x:c r="AH352" t="inlineStr">
        <x:is>
          <x:t xml:space="preserve"/>
        </x:is>
      </x:c>
    </x:row>
    <x:row r="353">
      <x:c r="A353" s="5" t="inlineStr">
        <x:is>
          <x:t xml:space="preserve">GPO-MUS-23</x:t>
        </x:is>
      </x:c>
      <x:c r="B353" s="5" t="n">
        <x:v>349</x:v>
      </x:c>
      <x:c r="C353" s="5" t="inlineStr">
        <x:is>
          <x:t xml:space="preserve">Music &amp; Audio Creation</x:t>
        </x:is>
      </x:c>
      <x:c r="D353" s="5" t="inlineStr">
        <x:is>
          <x:t xml:space="preserve">Create</x:t>
        </x:is>
      </x:c>
      <x:c r="E353" s="5" t="inlineStr">
        <x:is>
          <x:t xml:space="preserve">Stretch 60</x:t>
        </x:is>
      </x:c>
      <x:c r="F353" s="5" t="n">
        <x:v>23</x:v>
      </x:c>
      <x:c r="G353" s="5" t="inlineStr">
        <x:is>
          <x:t xml:space="preserve">Turn rough hummed ideas into structured demos fast enough to preserve inspiration.</x:t>
        </x:is>
      </x:c>
      <x:c r="H353" s="6" t="n">
        <x:v>38</x:v>
      </x:c>
      <x:c r="I353" s="6" t="n">
        <x:v>38</x:v>
      </x:c>
      <x:c r="J353" s="7" t="n">
        <x:v>43</x:v>
      </x:c>
      <x:c r="K353" s="7" t="n">
        <x:v>40</x:v>
      </x:c>
      <x:c r="L353" s="8" t="inlineStr">
        <x:is>
          <x:t xml:space="preserve">UNTESTED</x:t>
        </x:is>
      </x:c>
      <x:c r="M353" s="9" t="inlineStr">
        <x:is>
          <x:t xml:space="preserve">UNTESTED</x:t>
        </x:is>
      </x:c>
      <x:c r="N353" s="5" t="inlineStr">
        <x:is>
          <x:t xml:space="preserve">theory help; composition support; practice coaching; audio workflow planning</x:t>
        </x:is>
      </x:c>
      <x:c r="O353" s="5" t="inlineStr">
        <x:is>
          <x:t xml:space="preserve">Low</x:t>
        </x:is>
      </x:c>
      <x:c r="P353" s="5" t="inlineStr">
        <x:is>
          <x:t xml:space="preserve">Medium</x:t>
        </x:is>
      </x:c>
      <x:c r="Q353" s="5" t="inlineStr">
        <x:is>
          <x:t xml:space="preserve">Medium</x:t>
        </x:is>
      </x:c>
      <x:c r="R353" s="5" t="inlineStr">
        <x:is>
          <x:t xml:space="preserve">Low</x:t>
        </x:is>
      </x:c>
      <x:c r="S353" s="5" t="inlineStr">
        <x:is>
          <x:t xml:space="preserve">Medium</x:t>
        </x:is>
      </x:c>
      <x:c r="T353" s="5" t="inlineStr">
        <x:is>
          <x:t xml:space="preserve">ChatGPT/Claude planning + external music tools</x:t>
        </x:is>
      </x:c>
      <x:c r="U353" s="5" t="inlineStr">
        <x:is>
          <x:t xml:space="preserve">Hard</x:t>
        </x:is>
      </x:c>
      <x:c r="V353" s="10" t="n">
        <x:v>3</x:v>
      </x:c>
      <x:c r="W353" s="5" t="inlineStr">
        <x:is>
          <x:t xml:space="preserve">Creative coaching + workflow review</x:t>
        </x:is>
      </x:c>
      <x:c r="X353" s="5" t="inlineStr">
        <x:is>
          <x:t xml:space="preserve">practice plan / composition guide / arrangement brief</x:t>
        </x:is>
      </x:c>
      <x:c r="Y353" s="5" t="inlineStr">
        <x:is>
          <x:t xml:space="preserve">Output helps create or learn music in a concrete, musically coherent way.</x:t>
        </x:is>
      </x:c>
      <x:c r="Z353" s="5" t="inlineStr">
        <x:is>
          <x:t xml:space="preserve">Musically weak suggestions, generic advice, or no usable next step.</x:t>
        </x:is>
      </x:c>
      <x:c r="AA353" s="5" t="inlineStr">
        <x:is>
          <x:t xml:space="preserve">music mode / external tool routing / structured lesson outputs</x:t>
        </x:is>
      </x:c>
      <x:c r="AB353" s="5" t="inlineStr">
        <x:is>
          <x:t xml:space="preserve"/>
        </x:is>
      </x:c>
      <x:c r="AC353" s="5" t="inlineStr">
        <x:is>
          <x:t xml:space="preserve">Music-maker surveys show strong AI usage in parts of workflow, but full-song generation is less appealing; consumer trust remains mixed.</x:t>
        </x:is>
      </x:c>
      <x:c r="AD353" s="5" t="inlineStr">
        <x:is>
          <x:t xml:space="preserve">LANDR study 2025; PRS for Music 2026; Bain media survey 2025</x:t>
        </x:is>
      </x:c>
      <x:c r="AE353" s="11">
        <x:f>IF(O353="High",20,IF(O353="Medium",10,IF(O353="Low",5,0)))+IF(P353="High",20,IF(P353="Medium",10,IF(P353="Low",5,0)))+IF(Q353="High",20,IF(Q353="Medium",10,IF(Q353="Low",5,0)))+IF(R353="High",20,IF(R353="Medium",10,IF(R353="Low",5,0)))+IF(S353="High",20,IF(S353="Medium",10,IF(S353="Low",5,0)))</x:f>
        <x:v>40</x:v>
      </x:c>
      <x:c r="AF353" s="12">
        <x:f>ROUND(H353*0.30+J353*0.25+K353*0.20+(100-AE353)*0.10+(100-(V353*20))*0.15,0)</x:f>
        <x:v>42</x:v>
      </x:c>
      <x:c r="AG353" s="13" t="str">
        <x:f>IF(AF353&gt;=80,"Batch 1",IF(AF353&gt;=70,"Batch 2",IF(AF353&gt;=60,"Batch 3","Backlog")))</x:f>
        <x:v>Backlog</x:v>
      </x:c>
      <x:c r="AH353" t="inlineStr">
        <x:is>
          <x:t xml:space="preserve"/>
        </x:is>
      </x:c>
    </x:row>
    <x:row r="354">
      <x:c r="A354" s="5" t="inlineStr">
        <x:is>
          <x:t xml:space="preserve">GPO-FIL-18</x:t>
        </x:is>
      </x:c>
      <x:c r="B354" s="5" t="n">
        <x:v>350</x:v>
      </x:c>
      <x:c r="C354" s="5" t="inlineStr">
        <x:is>
          <x:t xml:space="preserve">Filmmaking &amp; Video Production</x:t>
        </x:is>
      </x:c>
      <x:c r="D354" s="5" t="inlineStr">
        <x:is>
          <x:t xml:space="preserve">Create</x:t>
        </x:is>
      </x:c>
      <x:c r="E354" s="5" t="inlineStr">
        <x:is>
          <x:t xml:space="preserve">Expansion 150</x:t>
        </x:is>
      </x:c>
      <x:c r="F354" s="5" t="n">
        <x:v>18</x:v>
      </x:c>
      <x:c r="G354" s="5" t="inlineStr">
        <x:is>
          <x:t xml:space="preserve">Evaluate whether current tools can execute my film idea convincingly yet.</x:t>
        </x:is>
      </x:c>
      <x:c r="H354" s="6" t="n">
        <x:v>37</x:v>
      </x:c>
      <x:c r="I354" s="6" t="n">
        <x:v>37</x:v>
      </x:c>
      <x:c r="J354" s="7" t="n">
        <x:v>44</x:v>
      </x:c>
      <x:c r="K354" s="7" t="n">
        <x:v>40</x:v>
      </x:c>
      <x:c r="L354" s="8" t="inlineStr">
        <x:is>
          <x:t xml:space="preserve">UNTESTED</x:t>
        </x:is>
      </x:c>
      <x:c r="M354" s="9" t="inlineStr">
        <x:is>
          <x:t xml:space="preserve">UNTESTED</x:t>
        </x:is>
      </x:c>
      <x:c r="N354" s="5" t="inlineStr">
        <x:is>
          <x:t xml:space="preserve">shot planning; multimodal coordination; tool routing; production workflow</x:t>
        </x:is>
      </x:c>
      <x:c r="O354" s="5" t="inlineStr">
        <x:is>
          <x:t xml:space="preserve">Low</x:t>
        </x:is>
      </x:c>
      <x:c r="P354" s="5" t="inlineStr">
        <x:is>
          <x:t xml:space="preserve">Medium</x:t>
        </x:is>
      </x:c>
      <x:c r="Q354" s="5" t="inlineStr">
        <x:is>
          <x:t xml:space="preserve">High</x:t>
        </x:is>
      </x:c>
      <x:c r="R354" s="5" t="inlineStr">
        <x:is>
          <x:t xml:space="preserve">High</x:t>
        </x:is>
      </x:c>
      <x:c r="S354" s="5" t="inlineStr">
        <x:is>
          <x:t xml:space="preserve">Medium</x:t>
        </x:is>
      </x:c>
      <x:c r="T354" s="5" t="inlineStr">
        <x:is>
          <x:t xml:space="preserve">Claude planning + external video/image tools</x:t>
        </x:is>
      </x:c>
      <x:c r="U354" s="5" t="inlineStr">
        <x:is>
          <x:t xml:space="preserve">Hard</x:t>
        </x:is>
      </x:c>
      <x:c r="V354" s="10" t="n">
        <x:v>3</x:v>
      </x:c>
      <x:c r="W354" s="5" t="inlineStr">
        <x:is>
          <x:t xml:space="preserve">Workflow plan + asset chain review</x:t>
        </x:is>
      </x:c>
      <x:c r="X354" s="5" t="inlineStr">
        <x:is>
          <x:t xml:space="preserve">shot list / storyboard / production workflow / tool stack recommendation</x:t>
        </x:is>
      </x:c>
      <x:c r="Y354" s="5" t="inlineStr">
        <x:is>
          <x:t xml:space="preserve">Workflow is executable with current tools and preserves consistency across assets.</x:t>
        </x:is>
      </x:c>
      <x:c r="Z354" s="5" t="inlineStr">
        <x:is>
          <x:t xml:space="preserve">Ignores tool limits, no consistency strategy, or vague production logic.</x:t>
        </x:is>
      </x:c>
      <x:c r="AA354" s="5" t="inlineStr">
        <x:is>
          <x:t xml:space="preserve">multimodal orchestration / provider routing / asset schema</x:t>
        </x:is>
      </x:c>
      <x:c r="AB354" s="5" t="inlineStr">
        <x:is>
          <x:t xml:space="preserve"/>
        </x:is>
      </x:c>
      <x:c r="AC354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54" s="5" t="inlineStr">
        <x:is>
          <x:t xml:space="preserve">Wondercraft/Digiday creator workflow survey 2025; Artificial Analysis generative media survey 2025; Reuters/Canal+ 2026</x:t>
        </x:is>
      </x:c>
      <x:c r="AE354" s="11">
        <x:f>IF(O354="High",20,IF(O354="Medium",10,IF(O354="Low",5,0)))+IF(P354="High",20,IF(P354="Medium",10,IF(P354="Low",5,0)))+IF(Q354="High",20,IF(Q354="Medium",10,IF(Q354="Low",5,0)))+IF(R354="High",20,IF(R354="Medium",10,IF(R354="Low",5,0)))+IF(S354="High",20,IF(S354="Medium",10,IF(S354="Low",5,0)))</x:f>
        <x:v>65</x:v>
      </x:c>
      <x:c r="AF354" s="12">
        <x:f>ROUND(H354*0.30+J354*0.25+K354*0.20+(100-AE354)*0.10+(100-(V354*20))*0.15,0)</x:f>
        <x:v>40</x:v>
      </x:c>
      <x:c r="AG354" s="13" t="str">
        <x:f>IF(AF354&gt;=80,"Batch 1",IF(AF354&gt;=70,"Batch 2",IF(AF354&gt;=60,"Batch 3","Backlog")))</x:f>
        <x:v>Backlog</x:v>
      </x:c>
      <x:c r="AH354" t="inlineStr">
        <x:is>
          <x:t xml:space="preserve"/>
        </x:is>
      </x:c>
    </x:row>
    <x:row r="355">
      <x:c r="A355" s="5" t="inlineStr">
        <x:is>
          <x:t xml:space="preserve">GPO-FIL-21</x:t>
        </x:is>
      </x:c>
      <x:c r="B355" s="5" t="n">
        <x:v>351</x:v>
      </x:c>
      <x:c r="C355" s="5" t="inlineStr">
        <x:is>
          <x:t xml:space="preserve">Filmmaking &amp; Video Production</x:t>
        </x:is>
      </x:c>
      <x:c r="D355" s="5" t="inlineStr">
        <x:is>
          <x:t xml:space="preserve">Create</x:t>
        </x:is>
      </x:c>
      <x:c r="E355" s="5" t="inlineStr">
        <x:is>
          <x:t xml:space="preserve">Stretch 60</x:t>
        </x:is>
      </x:c>
      <x:c r="F355" s="5" t="n">
        <x:v>21</x:v>
      </x:c>
      <x:c r="G355" s="5" t="inlineStr">
        <x:is>
          <x:t xml:space="preserve">Design an end-to-end short-film pipeline combining AI pre-vis with human-led finishing.</x:t>
        </x:is>
      </x:c>
      <x:c r="H355" s="6" t="n">
        <x:v>38</x:v>
      </x:c>
      <x:c r="I355" s="6" t="n">
        <x:v>38</x:v>
      </x:c>
      <x:c r="J355" s="7" t="n">
        <x:v>42</x:v>
      </x:c>
      <x:c r="K355" s="7" t="n">
        <x:v>40</x:v>
      </x:c>
      <x:c r="L355" s="8" t="inlineStr">
        <x:is>
          <x:t xml:space="preserve">UNTESTED</x:t>
        </x:is>
      </x:c>
      <x:c r="M355" s="9" t="inlineStr">
        <x:is>
          <x:t xml:space="preserve">UNTESTED</x:t>
        </x:is>
      </x:c>
      <x:c r="N355" s="5" t="inlineStr">
        <x:is>
          <x:t xml:space="preserve">shot planning; multimodal coordination; tool routing; production workflow</x:t>
        </x:is>
      </x:c>
      <x:c r="O355" s="5" t="inlineStr">
        <x:is>
          <x:t xml:space="preserve">Low</x:t>
        </x:is>
      </x:c>
      <x:c r="P355" s="5" t="inlineStr">
        <x:is>
          <x:t xml:space="preserve">Medium</x:t>
        </x:is>
      </x:c>
      <x:c r="Q355" s="5" t="inlineStr">
        <x:is>
          <x:t xml:space="preserve">High</x:t>
        </x:is>
      </x:c>
      <x:c r="R355" s="5" t="inlineStr">
        <x:is>
          <x:t xml:space="preserve">High</x:t>
        </x:is>
      </x:c>
      <x:c r="S355" s="5" t="inlineStr">
        <x:is>
          <x:t xml:space="preserve">Medium</x:t>
        </x:is>
      </x:c>
      <x:c r="T355" s="5" t="inlineStr">
        <x:is>
          <x:t xml:space="preserve">Claude planning + external video/image tools</x:t>
        </x:is>
      </x:c>
      <x:c r="U355" s="5" t="inlineStr">
        <x:is>
          <x:t xml:space="preserve">Hard</x:t>
        </x:is>
      </x:c>
      <x:c r="V355" s="10" t="n">
        <x:v>3</x:v>
      </x:c>
      <x:c r="W355" s="5" t="inlineStr">
        <x:is>
          <x:t xml:space="preserve">Workflow plan + asset chain review</x:t>
        </x:is>
      </x:c>
      <x:c r="X355" s="5" t="inlineStr">
        <x:is>
          <x:t xml:space="preserve">shot list / storyboard / production workflow / tool stack recommendation</x:t>
        </x:is>
      </x:c>
      <x:c r="Y355" s="5" t="inlineStr">
        <x:is>
          <x:t xml:space="preserve">Workflow is executable with current tools and preserves consistency across assets.</x:t>
        </x:is>
      </x:c>
      <x:c r="Z355" s="5" t="inlineStr">
        <x:is>
          <x:t xml:space="preserve">Ignores tool limits, no consistency strategy, or vague production logic.</x:t>
        </x:is>
      </x:c>
      <x:c r="AA355" s="5" t="inlineStr">
        <x:is>
          <x:t xml:space="preserve">multimodal orchestration / provider routing / asset schema</x:t>
        </x:is>
      </x:c>
      <x:c r="AB355" s="5" t="inlineStr">
        <x:is>
          <x:t xml:space="preserve"/>
        </x:is>
      </x:c>
      <x:c r="AC355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55" s="5" t="inlineStr">
        <x:is>
          <x:t xml:space="preserve">Wondercraft/Digiday creator workflow survey 2025; Artificial Analysis generative media survey 2025; Reuters/Canal+ 2026</x:t>
        </x:is>
      </x:c>
      <x:c r="AE355" s="11">
        <x:f>IF(O355="High",20,IF(O355="Medium",10,IF(O355="Low",5,0)))+IF(P355="High",20,IF(P355="Medium",10,IF(P355="Low",5,0)))+IF(Q355="High",20,IF(Q355="Medium",10,IF(Q355="Low",5,0)))+IF(R355="High",20,IF(R355="Medium",10,IF(R355="Low",5,0)))+IF(S355="High",20,IF(S355="Medium",10,IF(S355="Low",5,0)))</x:f>
        <x:v>65</x:v>
      </x:c>
      <x:c r="AF355" s="12">
        <x:f>ROUND(H355*0.30+J355*0.25+K355*0.20+(100-AE355)*0.10+(100-(V355*20))*0.15,0)</x:f>
        <x:v>39</x:v>
      </x:c>
      <x:c r="AG355" s="13" t="str">
        <x:f>IF(AF355&gt;=80,"Batch 1",IF(AF355&gt;=70,"Batch 2",IF(AF355&gt;=60,"Batch 3","Backlog")))</x:f>
        <x:v>Backlog</x:v>
      </x:c>
      <x:c r="AH355" t="inlineStr">
        <x:is>
          <x:t xml:space="preserve"/>
        </x:is>
      </x:c>
    </x:row>
    <x:row r="356">
      <x:c r="A356" s="5" t="inlineStr">
        <x:is>
          <x:t xml:space="preserve">GPO-MUS-20</x:t>
        </x:is>
      </x:c>
      <x:c r="B356" s="5" t="n">
        <x:v>352</x:v>
      </x:c>
      <x:c r="C356" s="5" t="inlineStr">
        <x:is>
          <x:t xml:space="preserve">Music &amp; Audio Creation</x:t>
        </x:is>
      </x:c>
      <x:c r="D356" s="5" t="inlineStr">
        <x:is>
          <x:t xml:space="preserve">Create</x:t>
        </x:is>
      </x:c>
      <x:c r="E356" s="5" t="inlineStr">
        <x:is>
          <x:t xml:space="preserve">Expansion 150</x:t>
        </x:is>
      </x:c>
      <x:c r="F356" s="5" t="n">
        <x:v>20</x:v>
      </x:c>
      <x:c r="G356" s="5" t="inlineStr">
        <x:is>
          <x:t xml:space="preserve">Build a six-month plan to get me from hobbyist to confident creator.</x:t>
        </x:is>
      </x:c>
      <x:c r="H356" s="6" t="n">
        <x:v>32</x:v>
      </x:c>
      <x:c r="I356" s="6" t="n">
        <x:v>32</x:v>
      </x:c>
      <x:c r="J356" s="7" t="n">
        <x:v>50</x:v>
      </x:c>
      <x:c r="K356" s="7" t="n">
        <x:v>40</x:v>
      </x:c>
      <x:c r="L356" s="8" t="inlineStr">
        <x:is>
          <x:t xml:space="preserve">UNTESTED</x:t>
        </x:is>
      </x:c>
      <x:c r="M356" s="9" t="inlineStr">
        <x:is>
          <x:t xml:space="preserve">UNTESTED</x:t>
        </x:is>
      </x:c>
      <x:c r="N356" s="5" t="inlineStr">
        <x:is>
          <x:t xml:space="preserve">theory help; composition support; practice coaching; audio workflow planning</x:t>
        </x:is>
      </x:c>
      <x:c r="O356" s="5" t="inlineStr">
        <x:is>
          <x:t xml:space="preserve">Low</x:t>
        </x:is>
      </x:c>
      <x:c r="P356" s="5" t="inlineStr">
        <x:is>
          <x:t xml:space="preserve">Medium</x:t>
        </x:is>
      </x:c>
      <x:c r="Q356" s="5" t="inlineStr">
        <x:is>
          <x:t xml:space="preserve">Medium</x:t>
        </x:is>
      </x:c>
      <x:c r="R356" s="5" t="inlineStr">
        <x:is>
          <x:t xml:space="preserve">Low</x:t>
        </x:is>
      </x:c>
      <x:c r="S356" s="5" t="inlineStr">
        <x:is>
          <x:t xml:space="preserve">Medium</x:t>
        </x:is>
      </x:c>
      <x:c r="T356" s="5" t="inlineStr">
        <x:is>
          <x:t xml:space="preserve">ChatGPT/Claude planning + external music tools</x:t>
        </x:is>
      </x:c>
      <x:c r="U356" s="5" t="inlineStr">
        <x:is>
          <x:t xml:space="preserve">Hard</x:t>
        </x:is>
      </x:c>
      <x:c r="V356" s="10" t="n">
        <x:v>3</x:v>
      </x:c>
      <x:c r="W356" s="5" t="inlineStr">
        <x:is>
          <x:t xml:space="preserve">Creative coaching + workflow review</x:t>
        </x:is>
      </x:c>
      <x:c r="X356" s="5" t="inlineStr">
        <x:is>
          <x:t xml:space="preserve">practice plan / composition guide / arrangement brief</x:t>
        </x:is>
      </x:c>
      <x:c r="Y356" s="5" t="inlineStr">
        <x:is>
          <x:t xml:space="preserve">Output helps create or learn music in a concrete, musically coherent way.</x:t>
        </x:is>
      </x:c>
      <x:c r="Z356" s="5" t="inlineStr">
        <x:is>
          <x:t xml:space="preserve">Musically weak suggestions, generic advice, or no usable next step.</x:t>
        </x:is>
      </x:c>
      <x:c r="AA356" s="5" t="inlineStr">
        <x:is>
          <x:t xml:space="preserve">music mode / external tool routing / structured lesson outputs</x:t>
        </x:is>
      </x:c>
      <x:c r="AB356" s="5" t="inlineStr">
        <x:is>
          <x:t xml:space="preserve"/>
        </x:is>
      </x:c>
      <x:c r="AC356" s="5" t="inlineStr">
        <x:is>
          <x:t xml:space="preserve">Music-maker surveys show strong AI usage in parts of workflow, but full-song generation is less appealing; consumer trust remains mixed.</x:t>
        </x:is>
      </x:c>
      <x:c r="AD356" s="5" t="inlineStr">
        <x:is>
          <x:t xml:space="preserve">LANDR study 2025; PRS for Music 2026; Bain media survey 2025</x:t>
        </x:is>
      </x:c>
      <x:c r="AE356" s="11">
        <x:f>IF(O356="High",20,IF(O356="Medium",10,IF(O356="Low",5,0)))+IF(P356="High",20,IF(P356="Medium",10,IF(P356="Low",5,0)))+IF(Q356="High",20,IF(Q356="Medium",10,IF(Q356="Low",5,0)))+IF(R356="High",20,IF(R356="Medium",10,IF(R356="Low",5,0)))+IF(S356="High",20,IF(S356="Medium",10,IF(S356="Low",5,0)))</x:f>
        <x:v>40</x:v>
      </x:c>
      <x:c r="AF356" s="12">
        <x:f>ROUND(H356*0.30+J356*0.25+K356*0.20+(100-AE356)*0.10+(100-(V356*20))*0.15,0)</x:f>
        <x:v>42</x:v>
      </x:c>
      <x:c r="AG356" s="13" t="str">
        <x:f>IF(AF356&gt;=80,"Batch 1",IF(AF356&gt;=70,"Batch 2",IF(AF356&gt;=60,"Batch 3","Backlog")))</x:f>
        <x:v>Backlog</x:v>
      </x:c>
      <x:c r="AH356" t="inlineStr">
        <x:is>
          <x:t xml:space="preserve"/>
        </x:is>
      </x:c>
    </x:row>
    <x:row r="357">
      <x:c r="A357" s="5" t="inlineStr">
        <x:is>
          <x:t xml:space="preserve">GPO-FIL-19</x:t>
        </x:is>
      </x:c>
      <x:c r="B357" s="5" t="n">
        <x:v>353</x:v>
      </x:c>
      <x:c r="C357" s="5" t="inlineStr">
        <x:is>
          <x:t xml:space="preserve">Filmmaking &amp; Video Production</x:t>
        </x:is>
      </x:c>
      <x:c r="D357" s="5" t="inlineStr">
        <x:is>
          <x:t xml:space="preserve">Create</x:t>
        </x:is>
      </x:c>
      <x:c r="E357" s="5" t="inlineStr">
        <x:is>
          <x:t xml:space="preserve">Expansion 150</x:t>
        </x:is>
      </x:c>
      <x:c r="F357" s="5" t="n">
        <x:v>19</x:v>
      </x:c>
      <x:c r="G357" s="5" t="inlineStr">
        <x:is>
          <x:t xml:space="preserve">Build a repeatable production system for YouTube/short films/ads using AI.</x:t>
        </x:is>
      </x:c>
      <x:c r="H357" s="6" t="n">
        <x:v>36</x:v>
      </x:c>
      <x:c r="I357" s="6" t="n">
        <x:v>36</x:v>
      </x:c>
      <x:c r="J357" s="7" t="n">
        <x:v>44</x:v>
      </x:c>
      <x:c r="K357" s="7" t="n">
        <x:v>40</x:v>
      </x:c>
      <x:c r="L357" s="8" t="inlineStr">
        <x:is>
          <x:t xml:space="preserve">UNTESTED</x:t>
        </x:is>
      </x:c>
      <x:c r="M357" s="9" t="inlineStr">
        <x:is>
          <x:t xml:space="preserve">UNTESTED</x:t>
        </x:is>
      </x:c>
      <x:c r="N357" s="5" t="inlineStr">
        <x:is>
          <x:t xml:space="preserve">shot planning; multimodal coordination; tool routing; production workflow</x:t>
        </x:is>
      </x:c>
      <x:c r="O357" s="5" t="inlineStr">
        <x:is>
          <x:t xml:space="preserve">Low</x:t>
        </x:is>
      </x:c>
      <x:c r="P357" s="5" t="inlineStr">
        <x:is>
          <x:t xml:space="preserve">Medium</x:t>
        </x:is>
      </x:c>
      <x:c r="Q357" s="5" t="inlineStr">
        <x:is>
          <x:t xml:space="preserve">High</x:t>
        </x:is>
      </x:c>
      <x:c r="R357" s="5" t="inlineStr">
        <x:is>
          <x:t xml:space="preserve">High</x:t>
        </x:is>
      </x:c>
      <x:c r="S357" s="5" t="inlineStr">
        <x:is>
          <x:t xml:space="preserve">Medium</x:t>
        </x:is>
      </x:c>
      <x:c r="T357" s="5" t="inlineStr">
        <x:is>
          <x:t xml:space="preserve">Claude planning + external video/image tools</x:t>
        </x:is>
      </x:c>
      <x:c r="U357" s="5" t="inlineStr">
        <x:is>
          <x:t xml:space="preserve">Hard</x:t>
        </x:is>
      </x:c>
      <x:c r="V357" s="10" t="n">
        <x:v>3</x:v>
      </x:c>
      <x:c r="W357" s="5" t="inlineStr">
        <x:is>
          <x:t xml:space="preserve">Workflow plan + asset chain review</x:t>
        </x:is>
      </x:c>
      <x:c r="X357" s="5" t="inlineStr">
        <x:is>
          <x:t xml:space="preserve">shot list / storyboard / production workflow / tool stack recommendation</x:t>
        </x:is>
      </x:c>
      <x:c r="Y357" s="5" t="inlineStr">
        <x:is>
          <x:t xml:space="preserve">Workflow is executable with current tools and preserves consistency across assets.</x:t>
        </x:is>
      </x:c>
      <x:c r="Z357" s="5" t="inlineStr">
        <x:is>
          <x:t xml:space="preserve">Ignores tool limits, no consistency strategy, or vague production logic.</x:t>
        </x:is>
      </x:c>
      <x:c r="AA357" s="5" t="inlineStr">
        <x:is>
          <x:t xml:space="preserve">multimodal orchestration / provider routing / asset schema</x:t>
        </x:is>
      </x:c>
      <x:c r="AB357" s="5" t="inlineStr">
        <x:is>
          <x:t xml:space="preserve"/>
        </x:is>
      </x:c>
      <x:c r="AC357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57" s="5" t="inlineStr">
        <x:is>
          <x:t xml:space="preserve">Wondercraft/Digiday creator workflow survey 2025; Artificial Analysis generative media survey 2025; Reuters/Canal+ 2026</x:t>
        </x:is>
      </x:c>
      <x:c r="AE357" s="11">
        <x:f>IF(O357="High",20,IF(O357="Medium",10,IF(O357="Low",5,0)))+IF(P357="High",20,IF(P357="Medium",10,IF(P357="Low",5,0)))+IF(Q357="High",20,IF(Q357="Medium",10,IF(Q357="Low",5,0)))+IF(R357="High",20,IF(R357="Medium",10,IF(R357="Low",5,0)))+IF(S357="High",20,IF(S357="Medium",10,IF(S357="Low",5,0)))</x:f>
        <x:v>65</x:v>
      </x:c>
      <x:c r="AF357" s="12">
        <x:f>ROUND(H357*0.30+J357*0.25+K357*0.20+(100-AE357)*0.10+(100-(V357*20))*0.15,0)</x:f>
        <x:v>39</x:v>
      </x:c>
      <x:c r="AG357" s="13" t="str">
        <x:f>IF(AF357&gt;=80,"Batch 1",IF(AF357&gt;=70,"Batch 2",IF(AF357&gt;=60,"Batch 3","Backlog")))</x:f>
        <x:v>Backlog</x:v>
      </x:c>
      <x:c r="AH357" t="inlineStr">
        <x:is>
          <x:t xml:space="preserve"/>
        </x:is>
      </x:c>
    </x:row>
    <x:row r="358">
      <x:c r="A358" s="5" t="inlineStr">
        <x:is>
          <x:t xml:space="preserve">GPO-HEA-23</x:t>
        </x:is>
      </x:c>
      <x:c r="B358" s="5" t="n">
        <x:v>354</x:v>
      </x:c>
      <x:c r="C358" s="5" t="inlineStr">
        <x:is>
          <x:t xml:space="preserve">Health &amp; Wellness Coach</x:t>
        </x:is>
      </x:c>
      <x:c r="D358" s="5" t="inlineStr">
        <x:is>
          <x:t xml:space="preserve">Care</x:t>
        </x:is>
      </x:c>
      <x:c r="E358" s="5" t="inlineStr">
        <x:is>
          <x:t xml:space="preserve">Stretch 60</x:t>
        </x:is>
      </x:c>
      <x:c r="F358" s="5" t="n">
        <x:v>23</x:v>
      </x:c>
      <x:c r="G358" s="5" t="inlineStr">
        <x:is>
          <x:t xml:space="preserve">Generate a doctor-visit prep brief from symptoms, questions, labs, and timeline.</x:t>
        </x:is>
      </x:c>
      <x:c r="H358" s="6" t="n">
        <x:v>38</x:v>
      </x:c>
      <x:c r="I358" s="6" t="n">
        <x:v>38</x:v>
      </x:c>
      <x:c r="J358" s="7" t="n">
        <x:v>40</x:v>
      </x:c>
      <x:c r="K358" s="7" t="n">
        <x:v>39</x:v>
      </x:c>
      <x:c r="L358" s="8" t="inlineStr">
        <x:is>
          <x:t xml:space="preserve">UNTESTED</x:t>
        </x:is>
      </x:c>
      <x:c r="M358" s="9" t="inlineStr">
        <x:is>
          <x:t xml:space="preserve">UNTESTED</x:t>
        </x:is>
      </x:c>
      <x:c r="N358" s="5" t="inlineStr">
        <x:is>
          <x:t xml:space="preserve">health explanation; risk framing; behavior coaching; careful disclaimer handling</x:t>
        </x:is>
      </x:c>
      <x:c r="O358" s="5" t="inlineStr">
        <x:is>
          <x:t xml:space="preserve">Medium</x:t>
        </x:is>
      </x:c>
      <x:c r="P358" s="5" t="inlineStr">
        <x:is>
          <x:t xml:space="preserve">High</x:t>
        </x:is>
      </x:c>
      <x:c r="Q358" s="5" t="inlineStr">
        <x:is>
          <x:t xml:space="preserve">Low</x:t>
        </x:is>
      </x:c>
      <x:c r="R358" s="5" t="inlineStr">
        <x:is>
          <x:t xml:space="preserve">Low</x:t>
        </x:is>
      </x:c>
      <x:c r="S358" s="5" t="inlineStr">
        <x:is>
          <x:t xml:space="preserve">Medium</x:t>
        </x:is>
      </x:c>
      <x:c r="T358" s="5" t="inlineStr">
        <x:is>
          <x:t xml:space="preserve">ChatGPT primary with careful guardrails</x:t>
        </x:is>
      </x:c>
      <x:c r="U358" s="5" t="inlineStr">
        <x:is>
          <x:t xml:space="preserve">Hard</x:t>
        </x:is>
      </x:c>
      <x:c r="V358" s="10" t="n">
        <x:v>3</x:v>
      </x:c>
      <x:c r="W358" s="5" t="inlineStr">
        <x:is>
          <x:t xml:space="preserve">Scenario prompts + safety review + usefulness review</x:t>
        </x:is>
      </x:c>
      <x:c r="X358" s="5" t="inlineStr">
        <x:is>
          <x:t xml:space="preserve">plan / explanation / checklist / prep brief</x:t>
        </x:is>
      </x:c>
      <x:c r="Y358" s="5" t="inlineStr">
        <x:is>
          <x:t xml:space="preserve">Useful, cautious, practical guidance that stays within safe boundaries.</x:t>
        </x:is>
      </x:c>
      <x:c r="Z358" s="5" t="inlineStr">
        <x:is>
          <x:t xml:space="preserve">Overconfident medical claims, weak escalation guidance, or unsafe advice.</x:t>
        </x:is>
      </x:c>
      <x:c r="AA358" s="5" t="inlineStr">
        <x:is>
          <x:t xml:space="preserve">safety layer / health mode / evidence grounding</x:t>
        </x:is>
      </x:c>
      <x:c r="AB358" s="5" t="inlineStr">
        <x:is>
          <x:t xml:space="preserve"/>
        </x:is>
      </x:c>
      <x:c r="AC358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58" s="5" t="inlineStr">
        <x:is>
          <x:t xml:space="preserve">OpenAI Introducing GPT-5; APPC 2025 health survey; Deloitte Connected Consumer 2025</x:t>
        </x:is>
      </x:c>
      <x:c r="AE358" s="11">
        <x:f>IF(O358="High",20,IF(O358="Medium",10,IF(O358="Low",5,0)))+IF(P358="High",20,IF(P358="Medium",10,IF(P358="Low",5,0)))+IF(Q358="High",20,IF(Q358="Medium",10,IF(Q358="Low",5,0)))+IF(R358="High",20,IF(R358="Medium",10,IF(R358="Low",5,0)))+IF(S358="High",20,IF(S358="Medium",10,IF(S358="Low",5,0)))</x:f>
        <x:v>50</x:v>
      </x:c>
      <x:c r="AF358" s="12">
        <x:f>ROUND(H358*0.30+J358*0.25+K358*0.20+(100-AE358)*0.10+(100-(V358*20))*0.15,0)</x:f>
        <x:v>40</x:v>
      </x:c>
      <x:c r="AG358" s="13" t="str">
        <x:f>IF(AF358&gt;=80,"Batch 1",IF(AF358&gt;=70,"Batch 2",IF(AF358&gt;=60,"Batch 3","Backlog")))</x:f>
        <x:v>Backlog</x:v>
      </x:c>
      <x:c r="AH358" t="inlineStr">
        <x:is>
          <x:t xml:space="preserve"/>
        </x:is>
      </x:c>
    </x:row>
    <x:row r="359">
      <x:c r="A359" s="5" t="inlineStr">
        <x:is>
          <x:t xml:space="preserve">GPO-MUS-24</x:t>
        </x:is>
      </x:c>
      <x:c r="B359" s="5" t="n">
        <x:v>355</x:v>
      </x:c>
      <x:c r="C359" s="5" t="inlineStr">
        <x:is>
          <x:t xml:space="preserve">Music &amp; Audio Creation</x:t>
        </x:is>
      </x:c>
      <x:c r="D359" s="5" t="inlineStr">
        <x:is>
          <x:t xml:space="preserve">Create</x:t>
        </x:is>
      </x:c>
      <x:c r="E359" s="5" t="inlineStr">
        <x:is>
          <x:t xml:space="preserve">Stretch 60</x:t>
        </x:is>
      </x:c>
      <x:c r="F359" s="5" t="n">
        <x:v>24</x:v>
      </x:c>
      <x:c r="G359" s="5" t="inlineStr">
        <x:is>
          <x:t xml:space="preserve">Design a signature sound palette for my personal creative brand.</x:t>
        </x:is>
      </x:c>
      <x:c r="H359" s="6" t="n">
        <x:v>38</x:v>
      </x:c>
      <x:c r="I359" s="6" t="n">
        <x:v>38</x:v>
      </x:c>
      <x:c r="J359" s="7" t="n">
        <x:v>40</x:v>
      </x:c>
      <x:c r="K359" s="7" t="n">
        <x:v>39</x:v>
      </x:c>
      <x:c r="L359" s="8" t="inlineStr">
        <x:is>
          <x:t xml:space="preserve">UNTESTED</x:t>
        </x:is>
      </x:c>
      <x:c r="M359" s="9" t="inlineStr">
        <x:is>
          <x:t xml:space="preserve">UNTESTED</x:t>
        </x:is>
      </x:c>
      <x:c r="N359" s="5" t="inlineStr">
        <x:is>
          <x:t xml:space="preserve">theory help; composition support; practice coaching; audio workflow planning</x:t>
        </x:is>
      </x:c>
      <x:c r="O359" s="5" t="inlineStr">
        <x:is>
          <x:t xml:space="preserve">Low</x:t>
        </x:is>
      </x:c>
      <x:c r="P359" s="5" t="inlineStr">
        <x:is>
          <x:t xml:space="preserve">Medium</x:t>
        </x:is>
      </x:c>
      <x:c r="Q359" s="5" t="inlineStr">
        <x:is>
          <x:t xml:space="preserve">Medium</x:t>
        </x:is>
      </x:c>
      <x:c r="R359" s="5" t="inlineStr">
        <x:is>
          <x:t xml:space="preserve">Low</x:t>
        </x:is>
      </x:c>
      <x:c r="S359" s="5" t="inlineStr">
        <x:is>
          <x:t xml:space="preserve">Medium</x:t>
        </x:is>
      </x:c>
      <x:c r="T359" s="5" t="inlineStr">
        <x:is>
          <x:t xml:space="preserve">ChatGPT/Claude planning + external music tools</x:t>
        </x:is>
      </x:c>
      <x:c r="U359" s="5" t="inlineStr">
        <x:is>
          <x:t xml:space="preserve">Hard</x:t>
        </x:is>
      </x:c>
      <x:c r="V359" s="10" t="n">
        <x:v>3</x:v>
      </x:c>
      <x:c r="W359" s="5" t="inlineStr">
        <x:is>
          <x:t xml:space="preserve">Creative coaching + workflow review</x:t>
        </x:is>
      </x:c>
      <x:c r="X359" s="5" t="inlineStr">
        <x:is>
          <x:t xml:space="preserve">practice plan / composition guide / arrangement brief</x:t>
        </x:is>
      </x:c>
      <x:c r="Y359" s="5" t="inlineStr">
        <x:is>
          <x:t xml:space="preserve">Output helps create or learn music in a concrete, musically coherent way.</x:t>
        </x:is>
      </x:c>
      <x:c r="Z359" s="5" t="inlineStr">
        <x:is>
          <x:t xml:space="preserve">Musically weak suggestions, generic advice, or no usable next step.</x:t>
        </x:is>
      </x:c>
      <x:c r="AA359" s="5" t="inlineStr">
        <x:is>
          <x:t xml:space="preserve">music mode / external tool routing / structured lesson outputs</x:t>
        </x:is>
      </x:c>
      <x:c r="AB359" s="5" t="inlineStr">
        <x:is>
          <x:t xml:space="preserve"/>
        </x:is>
      </x:c>
      <x:c r="AC359" s="5" t="inlineStr">
        <x:is>
          <x:t xml:space="preserve">Music-maker surveys show strong AI usage in parts of workflow, but full-song generation is less appealing; consumer trust remains mixed.</x:t>
        </x:is>
      </x:c>
      <x:c r="AD359" s="5" t="inlineStr">
        <x:is>
          <x:t xml:space="preserve">LANDR study 2025; PRS for Music 2026; Bain media survey 2025</x:t>
        </x:is>
      </x:c>
      <x:c r="AE359" s="11">
        <x:f>IF(O359="High",20,IF(O359="Medium",10,IF(O359="Low",5,0)))+IF(P359="High",20,IF(P359="Medium",10,IF(P359="Low",5,0)))+IF(Q359="High",20,IF(Q359="Medium",10,IF(Q359="Low",5,0)))+IF(R359="High",20,IF(R359="Medium",10,IF(R359="Low",5,0)))+IF(S359="High",20,IF(S359="Medium",10,IF(S359="Low",5,0)))</x:f>
        <x:v>40</x:v>
      </x:c>
      <x:c r="AF359" s="12">
        <x:f>ROUND(H359*0.30+J359*0.25+K359*0.20+(100-AE359)*0.10+(100-(V359*20))*0.15,0)</x:f>
        <x:v>41</x:v>
      </x:c>
      <x:c r="AG359" s="13" t="str">
        <x:f>IF(AF359&gt;=80,"Batch 1",IF(AF359&gt;=70,"Batch 2",IF(AF359&gt;=60,"Batch 3","Backlog")))</x:f>
        <x:v>Backlog</x:v>
      </x:c>
      <x:c r="AH359" t="inlineStr">
        <x:is>
          <x:t xml:space="preserve"/>
        </x:is>
      </x:c>
    </x:row>
    <x:row r="360">
      <x:c r="A360" s="5" t="inlineStr">
        <x:is>
          <x:t xml:space="preserve">GPO-FIL-22</x:t>
        </x:is>
      </x:c>
      <x:c r="B360" s="5" t="n">
        <x:v>356</x:v>
      </x:c>
      <x:c r="C360" s="5" t="inlineStr">
        <x:is>
          <x:t xml:space="preserve">Filmmaking &amp; Video Production</x:t>
        </x:is>
      </x:c>
      <x:c r="D360" s="5" t="inlineStr">
        <x:is>
          <x:t xml:space="preserve">Create</x:t>
        </x:is>
      </x:c>
      <x:c r="E360" s="5" t="inlineStr">
        <x:is>
          <x:t xml:space="preserve">Stretch 60</x:t>
        </x:is>
      </x:c>
      <x:c r="F360" s="5" t="n">
        <x:v>22</x:v>
      </x:c>
      <x:c r="G360" s="5" t="inlineStr">
        <x:is>
          <x:t xml:space="preserve">Create a consistency protocol for character, lighting, and camera language across generated shots.</x:t>
        </x:is>
      </x:c>
      <x:c r="H360" s="6" t="n">
        <x:v>38</x:v>
      </x:c>
      <x:c r="I360" s="6" t="n">
        <x:v>38</x:v>
      </x:c>
      <x:c r="J360" s="7" t="n">
        <x:v>39</x:v>
      </x:c>
      <x:c r="K360" s="7" t="n">
        <x:v>38</x:v>
      </x:c>
      <x:c r="L360" s="8" t="inlineStr">
        <x:is>
          <x:t xml:space="preserve">UNTESTED</x:t>
        </x:is>
      </x:c>
      <x:c r="M360" s="9" t="inlineStr">
        <x:is>
          <x:t xml:space="preserve">UNTESTED</x:t>
        </x:is>
      </x:c>
      <x:c r="N360" s="5" t="inlineStr">
        <x:is>
          <x:t xml:space="preserve">shot planning; multimodal coordination; tool routing; production workflow</x:t>
        </x:is>
      </x:c>
      <x:c r="O360" s="5" t="inlineStr">
        <x:is>
          <x:t xml:space="preserve">Low</x:t>
        </x:is>
      </x:c>
      <x:c r="P360" s="5" t="inlineStr">
        <x:is>
          <x:t xml:space="preserve">Medium</x:t>
        </x:is>
      </x:c>
      <x:c r="Q360" s="5" t="inlineStr">
        <x:is>
          <x:t xml:space="preserve">High</x:t>
        </x:is>
      </x:c>
      <x:c r="R360" s="5" t="inlineStr">
        <x:is>
          <x:t xml:space="preserve">High</x:t>
        </x:is>
      </x:c>
      <x:c r="S360" s="5" t="inlineStr">
        <x:is>
          <x:t xml:space="preserve">Medium</x:t>
        </x:is>
      </x:c>
      <x:c r="T360" s="5" t="inlineStr">
        <x:is>
          <x:t xml:space="preserve">Claude planning + external video/image tools</x:t>
        </x:is>
      </x:c>
      <x:c r="U360" s="5" t="inlineStr">
        <x:is>
          <x:t xml:space="preserve">Hard</x:t>
        </x:is>
      </x:c>
      <x:c r="V360" s="10" t="n">
        <x:v>3</x:v>
      </x:c>
      <x:c r="W360" s="5" t="inlineStr">
        <x:is>
          <x:t xml:space="preserve">Workflow plan + asset chain review</x:t>
        </x:is>
      </x:c>
      <x:c r="X360" s="5" t="inlineStr">
        <x:is>
          <x:t xml:space="preserve">shot list / storyboard / production workflow / tool stack recommendation</x:t>
        </x:is>
      </x:c>
      <x:c r="Y360" s="5" t="inlineStr">
        <x:is>
          <x:t xml:space="preserve">Workflow is executable with current tools and preserves consistency across assets.</x:t>
        </x:is>
      </x:c>
      <x:c r="Z360" s="5" t="inlineStr">
        <x:is>
          <x:t xml:space="preserve">Ignores tool limits, no consistency strategy, or vague production logic.</x:t>
        </x:is>
      </x:c>
      <x:c r="AA360" s="5" t="inlineStr">
        <x:is>
          <x:t xml:space="preserve">multimodal orchestration / provider routing / asset schema</x:t>
        </x:is>
      </x:c>
      <x:c r="AB360" s="5" t="inlineStr">
        <x:is>
          <x:t xml:space="preserve"/>
        </x:is>
      </x:c>
      <x:c r="AC360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60" s="5" t="inlineStr">
        <x:is>
          <x:t xml:space="preserve">Wondercraft/Digiday creator workflow survey 2025; Artificial Analysis generative media survey 2025; Reuters/Canal+ 2026</x:t>
        </x:is>
      </x:c>
      <x:c r="AE360" s="11">
        <x:f>IF(O360="High",20,IF(O360="Medium",10,IF(O360="Low",5,0)))+IF(P360="High",20,IF(P360="Medium",10,IF(P360="Low",5,0)))+IF(Q360="High",20,IF(Q360="Medium",10,IF(Q360="Low",5,0)))+IF(R360="High",20,IF(R360="Medium",10,IF(R360="Low",5,0)))+IF(S360="High",20,IF(S360="Medium",10,IF(S360="Low",5,0)))</x:f>
        <x:v>65</x:v>
      </x:c>
      <x:c r="AF360" s="12">
        <x:f>ROUND(H360*0.30+J360*0.25+K360*0.20+(100-AE360)*0.10+(100-(V360*20))*0.15,0)</x:f>
        <x:v>38</x:v>
      </x:c>
      <x:c r="AG360" s="13" t="str">
        <x:f>IF(AF360&gt;=80,"Batch 1",IF(AF360&gt;=70,"Batch 2",IF(AF360&gt;=60,"Batch 3","Backlog")))</x:f>
        <x:v>Backlog</x:v>
      </x:c>
      <x:c r="AH360" t="inlineStr">
        <x:is>
          <x:t xml:space="preserve"/>
        </x:is>
      </x:c>
    </x:row>
    <x:row r="361">
      <x:c r="A361" s="5" t="inlineStr">
        <x:is>
          <x:t xml:space="preserve">GPO-FIL-20</x:t>
        </x:is>
      </x:c>
      <x:c r="B361" s="5" t="n">
        <x:v>357</x:v>
      </x:c>
      <x:c r="C361" s="5" t="inlineStr">
        <x:is>
          <x:t xml:space="preserve">Filmmaking &amp; Video Production</x:t>
        </x:is>
      </x:c>
      <x:c r="D361" s="5" t="inlineStr">
        <x:is>
          <x:t xml:space="preserve">Create</x:t>
        </x:is>
      </x:c>
      <x:c r="E361" s="5" t="inlineStr">
        <x:is>
          <x:t xml:space="preserve">Expansion 150</x:t>
        </x:is>
      </x:c>
      <x:c r="F361" s="5" t="n">
        <x:v>20</x:v>
      </x:c>
      <x:c r="G361" s="5" t="inlineStr">
        <x:is>
          <x:t xml:space="preserve">Tell me the exact bottlenecks preventing a fully AI-generated high-quality film right now.</x:t>
        </x:is>
      </x:c>
      <x:c r="H361" s="6" t="n">
        <x:v>35</x:v>
      </x:c>
      <x:c r="I361" s="6" t="n">
        <x:v>35</x:v>
      </x:c>
      <x:c r="J361" s="7" t="n">
        <x:v>43</x:v>
      </x:c>
      <x:c r="K361" s="7" t="n">
        <x:v>39</x:v>
      </x:c>
      <x:c r="L361" s="8" t="inlineStr">
        <x:is>
          <x:t xml:space="preserve">UNTESTED</x:t>
        </x:is>
      </x:c>
      <x:c r="M361" s="9" t="inlineStr">
        <x:is>
          <x:t xml:space="preserve">UNTESTED</x:t>
        </x:is>
      </x:c>
      <x:c r="N361" s="5" t="inlineStr">
        <x:is>
          <x:t xml:space="preserve">shot planning; multimodal coordination; tool routing; production workflow</x:t>
        </x:is>
      </x:c>
      <x:c r="O361" s="5" t="inlineStr">
        <x:is>
          <x:t xml:space="preserve">Low</x:t>
        </x:is>
      </x:c>
      <x:c r="P361" s="5" t="inlineStr">
        <x:is>
          <x:t xml:space="preserve">Medium</x:t>
        </x:is>
      </x:c>
      <x:c r="Q361" s="5" t="inlineStr">
        <x:is>
          <x:t xml:space="preserve">High</x:t>
        </x:is>
      </x:c>
      <x:c r="R361" s="5" t="inlineStr">
        <x:is>
          <x:t xml:space="preserve">High</x:t>
        </x:is>
      </x:c>
      <x:c r="S361" s="5" t="inlineStr">
        <x:is>
          <x:t xml:space="preserve">Medium</x:t>
        </x:is>
      </x:c>
      <x:c r="T361" s="5" t="inlineStr">
        <x:is>
          <x:t xml:space="preserve">Claude planning + external video/image tools</x:t>
        </x:is>
      </x:c>
      <x:c r="U361" s="5" t="inlineStr">
        <x:is>
          <x:t xml:space="preserve">Hard</x:t>
        </x:is>
      </x:c>
      <x:c r="V361" s="10" t="n">
        <x:v>3</x:v>
      </x:c>
      <x:c r="W361" s="5" t="inlineStr">
        <x:is>
          <x:t xml:space="preserve">Workflow plan + asset chain review</x:t>
        </x:is>
      </x:c>
      <x:c r="X361" s="5" t="inlineStr">
        <x:is>
          <x:t xml:space="preserve">shot list / storyboard / production workflow / tool stack recommendation</x:t>
        </x:is>
      </x:c>
      <x:c r="Y361" s="5" t="inlineStr">
        <x:is>
          <x:t xml:space="preserve">Workflow is executable with current tools and preserves consistency across assets.</x:t>
        </x:is>
      </x:c>
      <x:c r="Z361" s="5" t="inlineStr">
        <x:is>
          <x:t xml:space="preserve">Ignores tool limits, no consistency strategy, or vague production logic.</x:t>
        </x:is>
      </x:c>
      <x:c r="AA361" s="5" t="inlineStr">
        <x:is>
          <x:t xml:space="preserve">multimodal orchestration / provider routing / asset schema</x:t>
        </x:is>
      </x:c>
      <x:c r="AB361" s="5" t="inlineStr">
        <x:is>
          <x:t xml:space="preserve"/>
        </x:is>
      </x:c>
      <x:c r="AC361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61" s="5" t="inlineStr">
        <x:is>
          <x:t xml:space="preserve">Wondercraft/Digiday creator workflow survey 2025; Artificial Analysis generative media survey 2025; Reuters/Canal+ 2026</x:t>
        </x:is>
      </x:c>
      <x:c r="AE361" s="11">
        <x:f>IF(O361="High",20,IF(O361="Medium",10,IF(O361="Low",5,0)))+IF(P361="High",20,IF(P361="Medium",10,IF(P361="Low",5,0)))+IF(Q361="High",20,IF(Q361="Medium",10,IF(Q361="Low",5,0)))+IF(R361="High",20,IF(R361="Medium",10,IF(R361="Low",5,0)))+IF(S361="High",20,IF(S361="Medium",10,IF(S361="Low",5,0)))</x:f>
        <x:v>65</x:v>
      </x:c>
      <x:c r="AF361" s="12">
        <x:f>ROUND(H361*0.30+J361*0.25+K361*0.20+(100-AE361)*0.10+(100-(V361*20))*0.15,0)</x:f>
        <x:v>39</x:v>
      </x:c>
      <x:c r="AG361" s="13" t="str">
        <x:f>IF(AF361&gt;=80,"Batch 1",IF(AF361&gt;=70,"Batch 2",IF(AF361&gt;=60,"Batch 3","Backlog")))</x:f>
        <x:v>Backlog</x:v>
      </x:c>
      <x:c r="AH361" t="inlineStr">
        <x:is>
          <x:t xml:space="preserve"/>
        </x:is>
      </x:c>
    </x:row>
    <x:row r="362">
      <x:c r="A362" s="5" t="inlineStr">
        <x:is>
          <x:t xml:space="preserve">GPO-HEA-24</x:t>
        </x:is>
      </x:c>
      <x:c r="B362" s="5" t="n">
        <x:v>358</x:v>
      </x:c>
      <x:c r="C362" s="5" t="inlineStr">
        <x:is>
          <x:t xml:space="preserve">Health &amp; Wellness Coach</x:t>
        </x:is>
      </x:c>
      <x:c r="D362" s="5" t="inlineStr">
        <x:is>
          <x:t xml:space="preserve">Care</x:t>
        </x:is>
      </x:c>
      <x:c r="E362" s="5" t="inlineStr">
        <x:is>
          <x:t xml:space="preserve">Stretch 60</x:t>
        </x:is>
      </x:c>
      <x:c r="F362" s="5" t="n">
        <x:v>24</x:v>
      </x:c>
      <x:c r="G362" s="5" t="inlineStr">
        <x:is>
          <x:t xml:space="preserve">Help me evaluate whether a trendy protocol is evidence-based, low-value, or risky.</x:t>
        </x:is>
      </x:c>
      <x:c r="H362" s="6" t="n">
        <x:v>38</x:v>
      </x:c>
      <x:c r="I362" s="6" t="n">
        <x:v>38</x:v>
      </x:c>
      <x:c r="J362" s="7" t="n">
        <x:v>37</x:v>
      </x:c>
      <x:c r="K362" s="7" t="n">
        <x:v>38</x:v>
      </x:c>
      <x:c r="L362" s="8" t="inlineStr">
        <x:is>
          <x:t xml:space="preserve">UNTESTED</x:t>
        </x:is>
      </x:c>
      <x:c r="M362" s="9" t="inlineStr">
        <x:is>
          <x:t xml:space="preserve">UNTESTED</x:t>
        </x:is>
      </x:c>
      <x:c r="N362" s="5" t="inlineStr">
        <x:is>
          <x:t xml:space="preserve">health explanation; risk framing; behavior coaching; careful disclaimer handling</x:t>
        </x:is>
      </x:c>
      <x:c r="O362" s="5" t="inlineStr">
        <x:is>
          <x:t xml:space="preserve">Medium</x:t>
        </x:is>
      </x:c>
      <x:c r="P362" s="5" t="inlineStr">
        <x:is>
          <x:t xml:space="preserve">High</x:t>
        </x:is>
      </x:c>
      <x:c r="Q362" s="5" t="inlineStr">
        <x:is>
          <x:t xml:space="preserve">Low</x:t>
        </x:is>
      </x:c>
      <x:c r="R362" s="5" t="inlineStr">
        <x:is>
          <x:t xml:space="preserve">Low</x:t>
        </x:is>
      </x:c>
      <x:c r="S362" s="5" t="inlineStr">
        <x:is>
          <x:t xml:space="preserve">Medium</x:t>
        </x:is>
      </x:c>
      <x:c r="T362" s="5" t="inlineStr">
        <x:is>
          <x:t xml:space="preserve">ChatGPT primary with careful guardrails</x:t>
        </x:is>
      </x:c>
      <x:c r="U362" s="5" t="inlineStr">
        <x:is>
          <x:t xml:space="preserve">Hard</x:t>
        </x:is>
      </x:c>
      <x:c r="V362" s="10" t="n">
        <x:v>3</x:v>
      </x:c>
      <x:c r="W362" s="5" t="inlineStr">
        <x:is>
          <x:t xml:space="preserve">Scenario prompts + safety review + usefulness review</x:t>
        </x:is>
      </x:c>
      <x:c r="X362" s="5" t="inlineStr">
        <x:is>
          <x:t xml:space="preserve">plan / explanation / checklist / prep brief</x:t>
        </x:is>
      </x:c>
      <x:c r="Y362" s="5" t="inlineStr">
        <x:is>
          <x:t xml:space="preserve">Useful, cautious, practical guidance that stays within safe boundaries.</x:t>
        </x:is>
      </x:c>
      <x:c r="Z362" s="5" t="inlineStr">
        <x:is>
          <x:t xml:space="preserve">Overconfident medical claims, weak escalation guidance, or unsafe advice.</x:t>
        </x:is>
      </x:c>
      <x:c r="AA362" s="5" t="inlineStr">
        <x:is>
          <x:t xml:space="preserve">safety layer / health mode / evidence grounding</x:t>
        </x:is>
      </x:c>
      <x:c r="AB362" s="5" t="inlineStr">
        <x:is>
          <x:t xml:space="preserve"/>
        </x:is>
      </x:c>
      <x:c r="AC362" s="5" t="inlineStr">
        <x:is>
          <x:t xml:space="preserve">OpenAI GPT-5 page says common uses include health; APPC 2025 finds 79% of U.S. adults likely to search online for health questions and 63% find AI-generated health info reliable; Deloitte top 5 includes physical health.</x:t>
        </x:is>
      </x:c>
      <x:c r="AD362" s="5" t="inlineStr">
        <x:is>
          <x:t xml:space="preserve">OpenAI Introducing GPT-5; APPC 2025 health survey; Deloitte Connected Consumer 2025</x:t>
        </x:is>
      </x:c>
      <x:c r="AE362" s="11">
        <x:f>IF(O362="High",20,IF(O362="Medium",10,IF(O362="Low",5,0)))+IF(P362="High",20,IF(P362="Medium",10,IF(P362="Low",5,0)))+IF(Q362="High",20,IF(Q362="Medium",10,IF(Q362="Low",5,0)))+IF(R362="High",20,IF(R362="Medium",10,IF(R362="Low",5,0)))+IF(S362="High",20,IF(S362="Medium",10,IF(S362="Low",5,0)))</x:f>
        <x:v>50</x:v>
      </x:c>
      <x:c r="AF362" s="12">
        <x:f>ROUND(H362*0.30+J362*0.25+K362*0.20+(100-AE362)*0.10+(100-(V362*20))*0.15,0)</x:f>
        <x:v>39</x:v>
      </x:c>
      <x:c r="AG362" s="13" t="str">
        <x:f>IF(AF362&gt;=80,"Batch 1",IF(AF362&gt;=70,"Batch 2",IF(AF362&gt;=60,"Batch 3","Backlog")))</x:f>
        <x:v>Backlog</x:v>
      </x:c>
      <x:c r="AH362" t="inlineStr">
        <x:is>
          <x:t xml:space="preserve"/>
        </x:is>
      </x:c>
    </x:row>
    <x:row r="363">
      <x:c r="A363" s="5" t="inlineStr">
        <x:is>
          <x:t xml:space="preserve">GPO-FIL-23</x:t>
        </x:is>
      </x:c>
      <x:c r="B363" s="5" t="n">
        <x:v>359</x:v>
      </x:c>
      <x:c r="C363" s="5" t="inlineStr">
        <x:is>
          <x:t xml:space="preserve">Filmmaking &amp; Video Production</x:t>
        </x:is>
      </x:c>
      <x:c r="D363" s="5" t="inlineStr">
        <x:is>
          <x:t xml:space="preserve">Create</x:t>
        </x:is>
      </x:c>
      <x:c r="E363" s="5" t="inlineStr">
        <x:is>
          <x:t xml:space="preserve">Stretch 60</x:t>
        </x:is>
      </x:c>
      <x:c r="F363" s="5" t="n">
        <x:v>23</x:v>
      </x:c>
      <x:c r="G363" s="5" t="inlineStr">
        <x:is>
          <x:t xml:space="preserve">Turn one long-form script into trailer, teaser, social cutdowns, and pitch materials.</x:t>
        </x:is>
      </x:c>
      <x:c r="H363" s="6" t="n">
        <x:v>38</x:v>
      </x:c>
      <x:c r="I363" s="6" t="n">
        <x:v>38</x:v>
      </x:c>
      <x:c r="J363" s="7" t="n">
        <x:v>36</x:v>
      </x:c>
      <x:c r="K363" s="7" t="n">
        <x:v>37</x:v>
      </x:c>
      <x:c r="L363" s="8" t="inlineStr">
        <x:is>
          <x:t xml:space="preserve">UNTESTED</x:t>
        </x:is>
      </x:c>
      <x:c r="M363" s="9" t="inlineStr">
        <x:is>
          <x:t xml:space="preserve">UNTESTED</x:t>
        </x:is>
      </x:c>
      <x:c r="N363" s="5" t="inlineStr">
        <x:is>
          <x:t xml:space="preserve">shot planning; multimodal coordination; tool routing; production workflow</x:t>
        </x:is>
      </x:c>
      <x:c r="O363" s="5" t="inlineStr">
        <x:is>
          <x:t xml:space="preserve">Low</x:t>
        </x:is>
      </x:c>
      <x:c r="P363" s="5" t="inlineStr">
        <x:is>
          <x:t xml:space="preserve">Medium</x:t>
        </x:is>
      </x:c>
      <x:c r="Q363" s="5" t="inlineStr">
        <x:is>
          <x:t xml:space="preserve">High</x:t>
        </x:is>
      </x:c>
      <x:c r="R363" s="5" t="inlineStr">
        <x:is>
          <x:t xml:space="preserve">High</x:t>
        </x:is>
      </x:c>
      <x:c r="S363" s="5" t="inlineStr">
        <x:is>
          <x:t xml:space="preserve">Medium</x:t>
        </x:is>
      </x:c>
      <x:c r="T363" s="5" t="inlineStr">
        <x:is>
          <x:t xml:space="preserve">Claude planning + external video/image tools</x:t>
        </x:is>
      </x:c>
      <x:c r="U363" s="5" t="inlineStr">
        <x:is>
          <x:t xml:space="preserve">Hard</x:t>
        </x:is>
      </x:c>
      <x:c r="V363" s="10" t="n">
        <x:v>3</x:v>
      </x:c>
      <x:c r="W363" s="5" t="inlineStr">
        <x:is>
          <x:t xml:space="preserve">Workflow plan + asset chain review</x:t>
        </x:is>
      </x:c>
      <x:c r="X363" s="5" t="inlineStr">
        <x:is>
          <x:t xml:space="preserve">shot list / storyboard / production workflow / tool stack recommendation</x:t>
        </x:is>
      </x:c>
      <x:c r="Y363" s="5" t="inlineStr">
        <x:is>
          <x:t xml:space="preserve">Workflow is executable with current tools and preserves consistency across assets.</x:t>
        </x:is>
      </x:c>
      <x:c r="Z363" s="5" t="inlineStr">
        <x:is>
          <x:t xml:space="preserve">Ignores tool limits, no consistency strategy, or vague production logic.</x:t>
        </x:is>
      </x:c>
      <x:c r="AA363" s="5" t="inlineStr">
        <x:is>
          <x:t xml:space="preserve">multimodal orchestration / provider routing / asset schema</x:t>
        </x:is>
      </x:c>
      <x:c r="AB363" s="5" t="inlineStr">
        <x:is>
          <x:t xml:space="preserve"/>
        </x:is>
      </x:c>
      <x:c r="AC363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63" s="5" t="inlineStr">
        <x:is>
          <x:t xml:space="preserve">Wondercraft/Digiday creator workflow survey 2025; Artificial Analysis generative media survey 2025; Reuters/Canal+ 2026</x:t>
        </x:is>
      </x:c>
      <x:c r="AE363" s="11">
        <x:f>IF(O363="High",20,IF(O363="Medium",10,IF(O363="Low",5,0)))+IF(P363="High",20,IF(P363="Medium",10,IF(P363="Low",5,0)))+IF(Q363="High",20,IF(Q363="Medium",10,IF(Q363="Low",5,0)))+IF(R363="High",20,IF(R363="Medium",10,IF(R363="Low",5,0)))+IF(S363="High",20,IF(S363="Medium",10,IF(S363="Low",5,0)))</x:f>
        <x:v>65</x:v>
      </x:c>
      <x:c r="AF363" s="12">
        <x:f>ROUND(H363*0.30+J363*0.25+K363*0.20+(100-AE363)*0.10+(100-(V363*20))*0.15,0)</x:f>
        <x:v>37</x:v>
      </x:c>
      <x:c r="AG363" s="13" t="str">
        <x:f>IF(AF363&gt;=80,"Batch 1",IF(AF363&gt;=70,"Batch 2",IF(AF363&gt;=60,"Batch 3","Backlog")))</x:f>
        <x:v>Backlog</x:v>
      </x:c>
      <x:c r="AH363" t="inlineStr">
        <x:is>
          <x:t xml:space="preserve"/>
        </x:is>
      </x:c>
    </x:row>
    <x:row r="364">
      <x:c r="A364" s="5" t="inlineStr">
        <x:is>
          <x:t xml:space="preserve">GPO-FIL-24</x:t>
        </x:is>
      </x:c>
      <x:c r="B364" s="5" t="n">
        <x:v>360</x:v>
      </x:c>
      <x:c r="C364" s="5" t="inlineStr">
        <x:is>
          <x:t xml:space="preserve">Filmmaking &amp; Video Production</x:t>
        </x:is>
      </x:c>
      <x:c r="D364" s="5" t="inlineStr">
        <x:is>
          <x:t xml:space="preserve">Create</x:t>
        </x:is>
      </x:c>
      <x:c r="E364" s="5" t="inlineStr">
        <x:is>
          <x:t xml:space="preserve">Stretch 60</x:t>
        </x:is>
      </x:c>
      <x:c r="F364" s="5" t="n">
        <x:v>24</x:v>
      </x:c>
      <x:c r="G364" s="5" t="inlineStr">
        <x:is>
          <x:t xml:space="preserve">Evaluate whether a concept should be made now, prototyped first, or delayed until tools improve.</x:t>
        </x:is>
      </x:c>
      <x:c r="H364" s="6" t="n">
        <x:v>38</x:v>
      </x:c>
      <x:c r="I364" s="6" t="n">
        <x:v>38</x:v>
      </x:c>
      <x:c r="J364" s="7" t="n">
        <x:v>33</x:v>
      </x:c>
      <x:c r="K364" s="7" t="n">
        <x:v>36</x:v>
      </x:c>
      <x:c r="L364" s="8" t="inlineStr">
        <x:is>
          <x:t xml:space="preserve">UNTESTED</x:t>
        </x:is>
      </x:c>
      <x:c r="M364" s="9" t="inlineStr">
        <x:is>
          <x:t xml:space="preserve">UNTESTED</x:t>
        </x:is>
      </x:c>
      <x:c r="N364" s="5" t="inlineStr">
        <x:is>
          <x:t xml:space="preserve">shot planning; multimodal coordination; tool routing; production workflow</x:t>
        </x:is>
      </x:c>
      <x:c r="O364" s="5" t="inlineStr">
        <x:is>
          <x:t xml:space="preserve">Low</x:t>
        </x:is>
      </x:c>
      <x:c r="P364" s="5" t="inlineStr">
        <x:is>
          <x:t xml:space="preserve">Medium</x:t>
        </x:is>
      </x:c>
      <x:c r="Q364" s="5" t="inlineStr">
        <x:is>
          <x:t xml:space="preserve">High</x:t>
        </x:is>
      </x:c>
      <x:c r="R364" s="5" t="inlineStr">
        <x:is>
          <x:t xml:space="preserve">High</x:t>
        </x:is>
      </x:c>
      <x:c r="S364" s="5" t="inlineStr">
        <x:is>
          <x:t xml:space="preserve">Medium</x:t>
        </x:is>
      </x:c>
      <x:c r="T364" s="5" t="inlineStr">
        <x:is>
          <x:t xml:space="preserve">Claude planning + external video/image tools</x:t>
        </x:is>
      </x:c>
      <x:c r="U364" s="5" t="inlineStr">
        <x:is>
          <x:t xml:space="preserve">Hard</x:t>
        </x:is>
      </x:c>
      <x:c r="V364" s="10" t="n">
        <x:v>3</x:v>
      </x:c>
      <x:c r="W364" s="5" t="inlineStr">
        <x:is>
          <x:t xml:space="preserve">Workflow plan + asset chain review</x:t>
        </x:is>
      </x:c>
      <x:c r="X364" s="5" t="inlineStr">
        <x:is>
          <x:t xml:space="preserve">shot list / storyboard / production workflow / tool stack recommendation</x:t>
        </x:is>
      </x:c>
      <x:c r="Y364" s="5" t="inlineStr">
        <x:is>
          <x:t xml:space="preserve">Workflow is executable with current tools and preserves consistency across assets.</x:t>
        </x:is>
      </x:c>
      <x:c r="Z364" s="5" t="inlineStr">
        <x:is>
          <x:t xml:space="preserve">Ignores tool limits, no consistency strategy, or vague production logic.</x:t>
        </x:is>
      </x:c>
      <x:c r="AA364" s="5" t="inlineStr">
        <x:is>
          <x:t xml:space="preserve">multimodal orchestration / provider routing / asset schema</x:t>
        </x:is>
      </x:c>
      <x:c r="AB364" s="5" t="inlineStr">
        <x:is>
          <x:t xml:space="preserve"/>
        </x:is>
      </x:c>
      <x:c r="AC364" s="5" t="inlineStr">
        <x:is>
          <x:t xml:space="preserve">Creator surveys show ~83% use AI in some workflow; organizations report 39% video generation already in production in Artificial Analysis survey; creative tools are rising but full film production remains immature.</x:t>
        </x:is>
      </x:c>
      <x:c r="AD364" s="5" t="inlineStr">
        <x:is>
          <x:t xml:space="preserve">Wondercraft/Digiday creator workflow survey 2025; Artificial Analysis generative media survey 2025; Reuters/Canal+ 2026</x:t>
        </x:is>
      </x:c>
      <x:c r="AE364" s="11">
        <x:f>IF(O364="High",20,IF(O364="Medium",10,IF(O364="Low",5,0)))+IF(P364="High",20,IF(P364="Medium",10,IF(P364="Low",5,0)))+IF(Q364="High",20,IF(Q364="Medium",10,IF(Q364="Low",5,0)))+IF(R364="High",20,IF(R364="Medium",10,IF(R364="Low",5,0)))+IF(S364="High",20,IF(S364="Medium",10,IF(S364="Low",5,0)))</x:f>
        <x:v>65</x:v>
      </x:c>
      <x:c r="AF364" s="12">
        <x:f>ROUND(H364*0.30+J364*0.25+K364*0.20+(100-AE364)*0.10+(100-(V364*20))*0.15,0)</x:f>
        <x:v>36</x:v>
      </x:c>
      <x:c r="AG364" s="13" t="str">
        <x:f>IF(AF364&gt;=80,"Batch 1",IF(AF364&gt;=70,"Batch 2",IF(AF364&gt;=60,"Batch 3","Backlog")))</x:f>
        <x:v>Backlog</x:v>
      </x:c>
      <x:c r="AH364" t="inlineStr">
        <x:is>
          <x:t xml:space="preserve"/>
        </x:is>
      </x:c>
    </x:row>
  </x:sheetData>
  <x:mergeCells>
    <x:mergeCell ref="B2:AH2"/>
    <x:mergeCell ref="A1:AH1"/>
  </x:mergeCells>
  <x:pageMargins left="0.7" right="0.7" top="0.75" bottom="0.75" header="0.3" footer="0.3"/>
  <x:tableParts count="1">
    <x:tablePart xmlns:r="http://schemas.openxmlformats.org/officeDocument/2006/relationships" r:id="R2ddc515a89f44cd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12" customWidth="1"/>
    <x:col min="4" max="4" width="10" customWidth="1"/>
    <x:col min="5" max="5" width="14" customWidth="1"/>
    <x:col min="6" max="6" width="12" customWidth="1"/>
    <x:col min="7" max="7" width="16" customWidth="1"/>
    <x:col min="8" max="8" width="12" customWidth="1"/>
    <x:col min="9" max="9" width="28" customWidth="1"/>
    <x:col min="10" max="10" width="30" customWidth="1"/>
  </x:cols>
  <x:sheetData>
    <x:row r="1" ht="24" customHeight="1">
      <x:c r="A1" s="1" t="inlineStr">
        <x:is>
          <x:t xml:space="preserve">Engine Summary V2</x:t>
        </x:is>
      </x:c>
    </x:row>
    <x:row r="2" ht="24" customHeight="1"/>
    <x:row r="3" ht="24" customHeight="1">
      <x:c r="A3" s="14" t="inlineStr">
        <x:is>
          <x:t xml:space="preserve">Rank</x:t>
        </x:is>
      </x:c>
      <x:c r="B3" s="14" t="inlineStr">
        <x:is>
          <x:t xml:space="preserve">Engine</x:t>
        </x:is>
      </x:c>
      <x:c r="C3" s="14" t="inlineStr">
        <x:is>
          <x:t xml:space="preserve">Category</x:t>
        </x:is>
      </x:c>
      <x:c r="D3" s="14" t="inlineStr">
        <x:is>
          <x:t xml:space="preserve">Cases</x:t>
        </x:is>
      </x:c>
      <x:c r="E3" s="14" t="inlineStr">
        <x:is>
          <x:t xml:space="preserve">Stretch Cases</x:t>
        </x:is>
      </x:c>
      <x:c r="F3" s="14" t="inlineStr">
        <x:is>
          <x:t xml:space="preserve">Demand %</x:t>
        </x:is>
      </x:c>
      <x:c r="G3" s="14" t="inlineStr">
        <x:is>
          <x:t xml:space="preserve">Achievability %</x:t>
        </x:is>
      </x:c>
      <x:c r="H3" s="14" t="inlineStr">
        <x:is>
          <x:t xml:space="preserve">Avg Focus %</x:t>
        </x:is>
      </x:c>
      <x:c r="I3" s="14" t="inlineStr">
        <x:is>
          <x:t xml:space="preserve">Primary Dependencies</x:t>
        </x:is>
      </x:c>
      <x:c r="J3" s="14" t="inlineStr">
        <x:is>
          <x:t xml:space="preserve">Provider Bias</x:t>
        </x:is>
      </x:c>
    </x:row>
    <x:row r="4" ht="24" customHeight="1">
      <x:c r="A4" s="5" t="n">
        <x:v>1</x:v>
      </x:c>
      <x:c r="B4" s="5" t="inlineStr">
        <x:is>
          <x:t xml:space="preserve">Code &amp; Product Engineering</x:t>
        </x:is>
      </x:c>
      <x:c r="C4" s="5" t="inlineStr">
        <x:is>
          <x:t xml:space="preserve">Build</x:t>
        </x:is>
      </x:c>
      <x:c r="D4" s="5" t="n">
        <x:v>24</x:v>
      </x:c>
      <x:c r="E4" s="5" t="n">
        <x:v>4</x:v>
      </x:c>
      <x:c r="F4" s="15" t="n">
        <x:v>84</x:v>
      </x:c>
      <x:c r="G4" s="16" t="n">
        <x:v>92</x:v>
      </x:c>
      <x:c r="H4" s="17">
        <x:f>ROUND(AVERAGEIF('Harness V2'!$C$5:$C$364,B4,'Harness V2'!$AF$5:$AF$364),0)</x:f>
        <x:v>70</x:v>
      </x:c>
      <x:c r="I4" s="5" t="inlineStr">
        <x:is>
          <x:t xml:space="preserve">memory, tooling, multi-agent</x:t>
        </x:is>
      </x:c>
      <x:c r="J4" s="5" t="inlineStr">
        <x:is>
          <x:t xml:space="preserve">Claude Code primary; ChatGPT critique; web optional</x:t>
        </x:is>
      </x:c>
    </x:row>
    <x:row r="5" ht="24" customHeight="1">
      <x:c r="A5" s="5" t="n">
        <x:v>2</x:v>
      </x:c>
      <x:c r="B5" s="5" t="inlineStr">
        <x:is>
          <x:t xml:space="preserve">Writing &amp; Documentation</x:t>
        </x:is>
      </x:c>
      <x:c r="C5" s="5" t="inlineStr">
        <x:is>
          <x:t xml:space="preserve">Create</x:t>
        </x:is>
      </x:c>
      <x:c r="D5" s="5" t="n">
        <x:v>24</x:v>
      </x:c>
      <x:c r="E5" s="5" t="n">
        <x:v>4</x:v>
      </x:c>
      <x:c r="F5" s="15" t="n">
        <x:v>82</x:v>
      </x:c>
      <x:c r="G5" s="16" t="n">
        <x:v>94</x:v>
      </x:c>
      <x:c r="H5" s="17">
        <x:f>ROUND(AVERAGEIF('Harness V2'!$C$5:$C$364,B5,'Harness V2'!$AF$5:$AF$364),0)</x:f>
        <x:v>73</x:v>
      </x:c>
      <x:c r="I5" s="5" t="inlineStr">
        <x:is>
          <x:t xml:space="preserve">memory</x:t>
        </x:is>
      </x:c>
      <x:c r="J5" s="5" t="inlineStr">
        <x:is>
          <x:t xml:space="preserve">ChatGPT or Claude; human review optional</x:t>
        </x:is>
      </x:c>
    </x:row>
    <x:row r="6" ht="24" customHeight="1">
      <x:c r="A6" s="5" t="n">
        <x:v>3</x:v>
      </x:c>
      <x:c r="B6" s="5" t="inlineStr">
        <x:is>
          <x:t xml:space="preserve">Research &amp; Analysis</x:t>
        </x:is>
      </x:c>
      <x:c r="C6" s="5" t="inlineStr">
        <x:is>
          <x:t xml:space="preserve">Think</x:t>
        </x:is>
      </x:c>
      <x:c r="D6" s="5" t="n">
        <x:v>24</x:v>
      </x:c>
      <x:c r="E6" s="5" t="n">
        <x:v>4</x:v>
      </x:c>
      <x:c r="F6" s="15" t="n">
        <x:v>80</x:v>
      </x:c>
      <x:c r="G6" s="16" t="n">
        <x:v>88</x:v>
      </x:c>
      <x:c r="H6" s="17">
        <x:f>ROUND(AVERAGEIF('Harness V2'!$C$5:$C$364,B6,'Harness V2'!$AF$5:$AF$364),0)</x:f>
        <x:v>67</x:v>
      </x:c>
      <x:c r="I6" s="5" t="inlineStr">
        <x:is>
          <x:t xml:space="preserve">web, memory, tooling, multi-agent</x:t>
        </x:is>
      </x:c>
      <x:c r="J6" s="5" t="inlineStr">
        <x:is>
          <x:t xml:space="preserve">ChatGPT with web; Claude for synthesis</x:t>
        </x:is>
      </x:c>
    </x:row>
    <x:row r="7" ht="24" customHeight="1">
      <x:c r="A7" s="5" t="n">
        <x:v>4</x:v>
      </x:c>
      <x:c r="B7" s="5" t="inlineStr">
        <x:is>
          <x:t xml:space="preserve">Learning &amp; Tutoring</x:t>
        </x:is>
      </x:c>
      <x:c r="C7" s="5" t="inlineStr">
        <x:is>
          <x:t xml:space="preserve">Grow</x:t>
        </x:is>
      </x:c>
      <x:c r="D7" s="5" t="n">
        <x:v>24</x:v>
      </x:c>
      <x:c r="E7" s="5" t="n">
        <x:v>4</x:v>
      </x:c>
      <x:c r="F7" s="15" t="n">
        <x:v>78</x:v>
      </x:c>
      <x:c r="G7" s="16" t="n">
        <x:v>90</x:v>
      </x:c>
      <x:c r="H7" s="17">
        <x:f>ROUND(AVERAGEIF('Harness V2'!$C$5:$C$364,B7,'Harness V2'!$AF$5:$AF$364),0)</x:f>
        <x:v>69</x:v>
      </x:c>
      <x:c r="I7" s="5" t="inlineStr">
        <x:is>
          <x:t xml:space="preserve">memory</x:t>
        </x:is>
      </x:c>
      <x:c r="J7" s="5" t="inlineStr">
        <x:is>
          <x:t xml:space="preserve">ChatGPT primary</x:t>
        </x:is>
      </x:c>
    </x:row>
    <x:row r="8" ht="24" customHeight="1">
      <x:c r="A8" s="5" t="n">
        <x:v>5</x:v>
      </x:c>
      <x:c r="B8" s="5" t="inlineStr">
        <x:is>
          <x:t xml:space="preserve">Scheduling &amp; Life Operations</x:t>
        </x:is>
      </x:c>
      <x:c r="C8" s="5" t="inlineStr">
        <x:is>
          <x:t xml:space="preserve">Operate</x:t>
        </x:is>
      </x:c>
      <x:c r="D8" s="5" t="n">
        <x:v>24</x:v>
      </x:c>
      <x:c r="E8" s="5" t="n">
        <x:v>4</x:v>
      </x:c>
      <x:c r="F8" s="15" t="n">
        <x:v>76</x:v>
      </x:c>
      <x:c r="G8" s="16" t="n">
        <x:v>86</x:v>
      </x:c>
      <x:c r="H8" s="17">
        <x:f>ROUND(AVERAGEIF('Harness V2'!$C$5:$C$364,B8,'Harness V2'!$AF$5:$AF$364),0)</x:f>
        <x:v>66</x:v>
      </x:c>
      <x:c r="I8" s="5" t="inlineStr">
        <x:is>
          <x:t xml:space="preserve">memory, tooling</x:t>
        </x:is>
      </x:c>
      <x:c r="J8" s="5" t="inlineStr">
        <x:is>
          <x:t xml:space="preserve">ChatGPT primary; calendar integrations later</x:t>
        </x:is>
      </x:c>
    </x:row>
    <x:row r="9" ht="24" customHeight="1">
      <x:c r="A9" s="5" t="n">
        <x:v>6</x:v>
      </x:c>
      <x:c r="B9" s="5" t="inlineStr">
        <x:is>
          <x:t xml:space="preserve">Health &amp; Wellness Coach</x:t>
        </x:is>
      </x:c>
      <x:c r="C9" s="5" t="inlineStr">
        <x:is>
          <x:t xml:space="preserve">Care</x:t>
        </x:is>
      </x:c>
      <x:c r="D9" s="5" t="n">
        <x:v>24</x:v>
      </x:c>
      <x:c r="E9" s="5" t="n">
        <x:v>4</x:v>
      </x:c>
      <x:c r="F9" s="15" t="n">
        <x:v>74</x:v>
      </x:c>
      <x:c r="G9" s="16" t="n">
        <x:v>62</x:v>
      </x:c>
      <x:c r="H9" s="17">
        <x:f>ROUND(AVERAGEIF('Harness V2'!$C$5:$C$364,B9,'Harness V2'!$AF$5:$AF$364),0)</x:f>
        <x:v>55</x:v>
      </x:c>
      <x:c r="I9" s="5" t="inlineStr">
        <x:is>
          <x:t xml:space="preserve">web, memory</x:t>
        </x:is>
      </x:c>
      <x:c r="J9" s="5" t="inlineStr">
        <x:is>
          <x:t xml:space="preserve">ChatGPT primary with careful guardrails</x:t>
        </x:is>
      </x:c>
    </x:row>
    <x:row r="10" ht="24" customHeight="1">
      <x:c r="A10" s="5" t="n">
        <x:v>7</x:v>
      </x:c>
      <x:c r="B10" s="5" t="inlineStr">
        <x:is>
          <x:t xml:space="preserve">Shopping &amp; Buying Advisor</x:t>
        </x:is>
      </x:c>
      <x:c r="C10" s="5" t="inlineStr">
        <x:is>
          <x:t xml:space="preserve">Buy</x:t>
        </x:is>
      </x:c>
      <x:c r="D10" s="5" t="n">
        <x:v>24</x:v>
      </x:c>
      <x:c r="E10" s="5" t="n">
        <x:v>4</x:v>
      </x:c>
      <x:c r="F10" s="15" t="n">
        <x:v>72</x:v>
      </x:c>
      <x:c r="G10" s="16" t="n">
        <x:v>85</x:v>
      </x:c>
      <x:c r="H10" s="17">
        <x:f>ROUND(AVERAGEIF('Harness V2'!$C$5:$C$364,B10,'Harness V2'!$AF$5:$AF$364),0)</x:f>
        <x:v>64</x:v>
      </x:c>
      <x:c r="I10" s="5" t="inlineStr">
        <x:is>
          <x:t xml:space="preserve">web, memory, tooling</x:t>
        </x:is>
      </x:c>
      <x:c r="J10" s="5" t="inlineStr">
        <x:is>
          <x:t xml:space="preserve">ChatGPT with web</x:t>
        </x:is>
      </x:c>
    </x:row>
    <x:row r="11">
      <x:c r="A11" s="5" t="n">
        <x:v>8</x:v>
      </x:c>
      <x:c r="B11" s="5" t="inlineStr">
        <x:is>
          <x:t xml:space="preserve">Travel &amp; Relocation Planner</x:t>
        </x:is>
      </x:c>
      <x:c r="C11" s="5" t="inlineStr">
        <x:is>
          <x:t xml:space="preserve">Move</x:t>
        </x:is>
      </x:c>
      <x:c r="D11" s="5" t="n">
        <x:v>24</x:v>
      </x:c>
      <x:c r="E11" s="5" t="n">
        <x:v>4</x:v>
      </x:c>
      <x:c r="F11" s="15" t="n">
        <x:v>70</x:v>
      </x:c>
      <x:c r="G11" s="16" t="n">
        <x:v>83</x:v>
      </x:c>
      <x:c r="H11" s="17">
        <x:f>ROUND(AVERAGEIF('Harness V2'!$C$5:$C$364,B11,'Harness V2'!$AF$5:$AF$364),0)</x:f>
        <x:v>63</x:v>
      </x:c>
      <x:c r="I11" s="5" t="inlineStr">
        <x:is>
          <x:t xml:space="preserve">web, memory, tooling</x:t>
        </x:is>
      </x:c>
      <x:c r="J11" s="5" t="inlineStr">
        <x:is>
          <x:t xml:space="preserve">ChatGPT with web; maps/calendar later</x:t>
        </x:is>
      </x:c>
    </x:row>
    <x:row r="12">
      <x:c r="A12" s="5" t="n">
        <x:v>9</x:v>
      </x:c>
      <x:c r="B12" s="5" t="inlineStr">
        <x:is>
          <x:t xml:space="preserve">Personal Finance &amp; Investing</x:t>
        </x:is>
      </x:c>
      <x:c r="C12" s="5" t="inlineStr">
        <x:is>
          <x:t xml:space="preserve">Money</x:t>
        </x:is>
      </x:c>
      <x:c r="D12" s="5" t="n">
        <x:v>24</x:v>
      </x:c>
      <x:c r="E12" s="5" t="n">
        <x:v>4</x:v>
      </x:c>
      <x:c r="F12" s="15" t="n">
        <x:v>68</x:v>
      </x:c>
      <x:c r="G12" s="16" t="n">
        <x:v>78</x:v>
      </x:c>
      <x:c r="H12" s="17">
        <x:f>ROUND(AVERAGEIF('Harness V2'!$C$5:$C$364,B12,'Harness V2'!$AF$5:$AF$364),0)</x:f>
        <x:v>59</x:v>
      </x:c>
      <x:c r="I12" s="5" t="inlineStr">
        <x:is>
          <x:t xml:space="preserve">web, memory, tooling</x:t>
        </x:is>
      </x:c>
      <x:c r="J12" s="5" t="inlineStr">
        <x:is>
          <x:t xml:space="preserve">ChatGPT or Claude with spreadsheet support</x:t>
        </x:is>
      </x:c>
    </x:row>
    <x:row r="13">
      <x:c r="A13" s="5" t="n">
        <x:v>10</x:v>
      </x:c>
      <x:c r="B13" s="5" t="inlineStr">
        <x:is>
          <x:t xml:space="preserve">Startup &amp; Business Builder</x:t>
        </x:is>
      </x:c>
      <x:c r="C13" s="5" t="inlineStr">
        <x:is>
          <x:t xml:space="preserve">Build</x:t>
        </x:is>
      </x:c>
      <x:c r="D13" s="5" t="n">
        <x:v>24</x:v>
      </x:c>
      <x:c r="E13" s="5" t="n">
        <x:v>4</x:v>
      </x:c>
      <x:c r="F13" s="15" t="n">
        <x:v>66</x:v>
      </x:c>
      <x:c r="G13" s="16" t="n">
        <x:v>80</x:v>
      </x:c>
      <x:c r="H13" s="17">
        <x:f>ROUND(AVERAGEIF('Harness V2'!$C$5:$C$364,B13,'Harness V2'!$AF$5:$AF$364),0)</x:f>
        <x:v>60</x:v>
      </x:c>
      <x:c r="I13" s="5" t="inlineStr">
        <x:is>
          <x:t xml:space="preserve">web, memory, multi-agent</x:t>
        </x:is>
      </x:c>
      <x:c r="J13" s="5" t="inlineStr">
        <x:is>
          <x:t xml:space="preserve">Claude + ChatGPT combo</x:t>
        </x:is>
      </x:c>
    </x:row>
    <x:row r="14">
      <x:c r="A14" s="5" t="n">
        <x:v>11</x:v>
      </x:c>
      <x:c r="B14" s="5" t="inlineStr">
        <x:is>
          <x:t xml:space="preserve">Career &amp; Job Search</x:t>
        </x:is>
      </x:c>
      <x:c r="C14" s="5" t="inlineStr">
        <x:is>
          <x:t xml:space="preserve">Advance</x:t>
        </x:is>
      </x:c>
      <x:c r="D14" s="5" t="n">
        <x:v>24</x:v>
      </x:c>
      <x:c r="E14" s="5" t="n">
        <x:v>4</x:v>
      </x:c>
      <x:c r="F14" s="15" t="n">
        <x:v>64</x:v>
      </x:c>
      <x:c r="G14" s="16" t="n">
        <x:v>84</x:v>
      </x:c>
      <x:c r="H14" s="17">
        <x:f>ROUND(AVERAGEIF('Harness V2'!$C$5:$C$364,B14,'Harness V2'!$AF$5:$AF$364),0)</x:f>
        <x:v>62</x:v>
      </x:c>
      <x:c r="I14" s="5" t="inlineStr">
        <x:is>
          <x:t xml:space="preserve">web, memory</x:t>
        </x:is>
      </x:c>
      <x:c r="J14" s="5" t="inlineStr">
        <x:is>
          <x:t xml:space="preserve">ChatGPT primary</x:t>
        </x:is>
      </x:c>
    </x:row>
    <x:row r="15">
      <x:c r="A15" s="5" t="n">
        <x:v>12</x:v>
      </x:c>
      <x:c r="B15" s="5" t="inlineStr">
        <x:is>
          <x:t xml:space="preserve">Screenwriting &amp; Story Development</x:t>
        </x:is>
      </x:c>
      <x:c r="C15" s="5" t="inlineStr">
        <x:is>
          <x:t xml:space="preserve">Create</x:t>
        </x:is>
      </x:c>
      <x:c r="D15" s="5" t="n">
        <x:v>24</x:v>
      </x:c>
      <x:c r="E15" s="5" t="n">
        <x:v>4</x:v>
      </x:c>
      <x:c r="F15" s="15" t="n">
        <x:v>58</x:v>
      </x:c>
      <x:c r="G15" s="16" t="n">
        <x:v>77</x:v>
      </x:c>
      <x:c r="H15" s="17">
        <x:f>ROUND(AVERAGEIF('Harness V2'!$C$5:$C$364,B15,'Harness V2'!$AF$5:$AF$364),0)</x:f>
        <x:v>59</x:v>
      </x:c>
      <x:c r="I15" s="5" t="inlineStr">
        <x:is>
          <x:t xml:space="preserve">memory</x:t>
        </x:is>
      </x:c>
      <x:c r="J15" s="5" t="inlineStr">
        <x:is>
          <x:t xml:space="preserve">ChatGPT or Claude creative mode</x:t>
        </x:is>
      </x:c>
    </x:row>
    <x:row r="16">
      <x:c r="A16" s="5" t="n">
        <x:v>13</x:v>
      </x:c>
      <x:c r="B16" s="5" t="inlineStr">
        <x:is>
          <x:t xml:space="preserve">Filmmaking &amp; Video Production</x:t>
        </x:is>
      </x:c>
      <x:c r="C16" s="5" t="inlineStr">
        <x:is>
          <x:t xml:space="preserve">Create</x:t>
        </x:is>
      </x:c>
      <x:c r="D16" s="5" t="n">
        <x:v>24</x:v>
      </x:c>
      <x:c r="E16" s="5" t="n">
        <x:v>4</x:v>
      </x:c>
      <x:c r="F16" s="15" t="n">
        <x:v>56</x:v>
      </x:c>
      <x:c r="G16" s="16" t="n">
        <x:v>58</x:v>
      </x:c>
      <x:c r="H16" s="17">
        <x:f>ROUND(AVERAGEIF('Harness V2'!$C$5:$C$364,B16,'Harness V2'!$AF$5:$AF$364),0)</x:f>
        <x:v>44</x:v>
      </x:c>
      <x:c r="I16" s="5" t="inlineStr">
        <x:is>
          <x:t xml:space="preserve">memory, tooling, multi-agent</x:t>
        </x:is>
      </x:c>
      <x:c r="J16" s="5" t="inlineStr">
        <x:is>
          <x:t xml:space="preserve">Claude planning + external video/image tools</x:t>
        </x:is>
      </x:c>
    </x:row>
    <x:row r="17">
      <x:c r="A17" s="5" t="n">
        <x:v>14</x:v>
      </x:c>
      <x:c r="B17" s="5" t="inlineStr">
        <x:is>
          <x:t xml:space="preserve">Music &amp; Audio Creation</x:t>
        </x:is>
      </x:c>
      <x:c r="C17" s="5" t="inlineStr">
        <x:is>
          <x:t xml:space="preserve">Create</x:t>
        </x:is>
      </x:c>
      <x:c r="D17" s="5" t="n">
        <x:v>24</x:v>
      </x:c>
      <x:c r="E17" s="5" t="n">
        <x:v>4</x:v>
      </x:c>
      <x:c r="F17" s="15" t="n">
        <x:v>52</x:v>
      </x:c>
      <x:c r="G17" s="16" t="n">
        <x:v>65</x:v>
      </x:c>
      <x:c r="H17" s="17">
        <x:f>ROUND(AVERAGEIF('Harness V2'!$C$5:$C$364,B17,'Harness V2'!$AF$5:$AF$364),0)</x:f>
        <x:v>50</x:v>
      </x:c>
      <x:c r="I17" s="5" t="inlineStr">
        <x:is>
          <x:t xml:space="preserve">memory, tooling</x:t>
        </x:is>
      </x:c>
      <x:c r="J17" s="5" t="inlineStr">
        <x:is>
          <x:t xml:space="preserve">ChatGPT/Claude planning + external music tools</x:t>
        </x:is>
      </x:c>
    </x:row>
    <x:row r="18">
      <x:c r="A18" s="5" t="n">
        <x:v>15</x:v>
      </x:c>
      <x:c r="B18" s="5" t="inlineStr">
        <x:is>
          <x:t xml:space="preserve">Home &amp; Lifestyle Design</x:t>
        </x:is>
      </x:c>
      <x:c r="C18" s="5" t="inlineStr">
        <x:is>
          <x:t xml:space="preserve">Design</x:t>
        </x:is>
      </x:c>
      <x:c r="D18" s="5" t="n">
        <x:v>24</x:v>
      </x:c>
      <x:c r="E18" s="5" t="n">
        <x:v>4</x:v>
      </x:c>
      <x:c r="F18" s="15" t="n">
        <x:v>48</x:v>
      </x:c>
      <x:c r="G18" s="16" t="n">
        <x:v>74</x:v>
      </x:c>
      <x:c r="H18" s="17">
        <x:f>ROUND(AVERAGEIF('Harness V2'!$C$5:$C$364,B18,'Harness V2'!$AF$5:$AF$364),0)</x:f>
        <x:v>52</x:v>
      </x:c>
      <x:c r="I18" s="5" t="inlineStr">
        <x:is>
          <x:t xml:space="preserve">web, memory, tooling</x:t>
        </x:is>
      </x:c>
      <x:c r="J18" s="5" t="inlineStr">
        <x:is>
          <x:t xml:space="preserve">ChatGPT with web; image/design tools later</x:t>
        </x:is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ffad766b68b4eb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8" customWidth="1"/>
    <x:col min="3" max="3" width="42" customWidth="1"/>
    <x:col min="4" max="4" width="40" customWidth="1"/>
  </x:cols>
  <x:sheetData>
    <x:row r="1" ht="24" customHeight="1">
      <x:c r="A1" s="1" t="inlineStr">
        <x:is>
          <x:t xml:space="preserve">Claude-Ready Schema</x:t>
        </x:is>
      </x:c>
    </x:row>
    <x:row r="2" ht="24" customHeight="1"/>
    <x:row r="3" ht="24" customHeight="1">
      <x:c r="A3" s="18" t="inlineStr">
        <x:is>
          <x:t xml:space="preserve">Field</x:t>
        </x:is>
      </x:c>
      <x:c r="B3" s="18" t="inlineStr">
        <x:is>
          <x:t xml:space="preserve">Type</x:t>
        </x:is>
      </x:c>
      <x:c r="C3" s="18" t="inlineStr">
        <x:is>
          <x:t xml:space="preserve">Description</x:t>
        </x:is>
      </x:c>
      <x:c r="D3" s="18" t="inlineStr">
        <x:is>
          <x:t xml:space="preserve">Example</x:t>
        </x:is>
      </x:c>
    </x:row>
    <x:row r="4" ht="24" customHeight="1">
      <x:c r="A4" s="5" t="inlineStr">
        <x:is>
          <x:t xml:space="preserve">test_case_id</x:t>
        </x:is>
      </x:c>
      <x:c r="B4" s="5" t="inlineStr">
        <x:is>
          <x:t xml:space="preserve">string</x:t>
        </x:is>
      </x:c>
      <x:c r="C4" s="5" t="inlineStr">
        <x:is>
          <x:t xml:space="preserve">Unique stable ID</x:t>
        </x:is>
      </x:c>
      <x:c r="D4" s="5" t="inlineStr">
        <x:is>
          <x:t xml:space="preserve">GPO-COD-01</x:t>
        </x:is>
      </x:c>
    </x:row>
    <x:row r="5" ht="24" customHeight="1">
      <x:c r="A5" s="5" t="inlineStr">
        <x:is>
          <x:t xml:space="preserve">global_rank</x:t>
        </x:is>
      </x:c>
      <x:c r="B5" s="5" t="inlineStr">
        <x:is>
          <x:t xml:space="preserve">integer</x:t>
        </x:is>
      </x:c>
      <x:c r="C5" s="5" t="inlineStr">
        <x:is>
          <x:t xml:space="preserve">Global priority rank</x:t>
        </x:is>
      </x:c>
      <x:c r="D5" s="5" t="inlineStr">
        <x:is>
          <x:t xml:space="preserve">1</x:t>
        </x:is>
      </x:c>
    </x:row>
    <x:row r="6" ht="24" customHeight="1">
      <x:c r="A6" s="5" t="inlineStr">
        <x:is>
          <x:t xml:space="preserve">engine</x:t>
        </x:is>
      </x:c>
      <x:c r="B6" s="5" t="inlineStr">
        <x:is>
          <x:t xml:space="preserve">string</x:t>
        </x:is>
      </x:c>
      <x:c r="C6" s="5" t="inlineStr">
        <x:is>
          <x:t xml:space="preserve">Engine bucket</x:t>
        </x:is>
      </x:c>
      <x:c r="D6" s="5" t="inlineStr">
        <x:is>
          <x:t xml:space="preserve">Code &amp; Product Engineering</x:t>
        </x:is>
      </x:c>
    </x:row>
    <x:row r="7" ht="24" customHeight="1">
      <x:c r="A7" s="5" t="inlineStr">
        <x:is>
          <x:t xml:space="preserve">category</x:t>
        </x:is>
      </x:c>
      <x:c r="B7" s="5" t="inlineStr">
        <x:is>
          <x:t xml:space="preserve">string</x:t>
        </x:is>
      </x:c>
      <x:c r="C7" s="5" t="inlineStr">
        <x:is>
          <x:t xml:space="preserve">Parent category</x:t>
        </x:is>
      </x:c>
      <x:c r="D7" s="5" t="inlineStr">
        <x:is>
          <x:t xml:space="preserve">Build</x:t>
        </x:is>
      </x:c>
    </x:row>
    <x:row r="8" ht="24" customHeight="1">
      <x:c r="A8" s="5" t="inlineStr">
        <x:is>
          <x:t xml:space="preserve">set</x:t>
        </x:is>
      </x:c>
      <x:c r="B8" s="5" t="inlineStr">
        <x:is>
          <x:t xml:space="preserve">enum</x:t>
        </x:is>
      </x:c>
      <x:c r="C8" s="5" t="inlineStr">
        <x:is>
          <x:t xml:space="preserve">Core 150 / Expansion 150 / Stretch 60</x:t>
        </x:is>
      </x:c>
      <x:c r="D8" s="5" t="inlineStr">
        <x:is>
          <x:t xml:space="preserve">Core 150</x:t>
        </x:is>
      </x:c>
    </x:row>
    <x:row r="9" ht="24" customHeight="1">
      <x:c r="A9" s="5" t="inlineStr">
        <x:is>
          <x:t xml:space="preserve">engine_question_no</x:t>
        </x:is>
      </x:c>
      <x:c r="B9" s="5" t="inlineStr">
        <x:is>
          <x:t xml:space="preserve">integer</x:t>
        </x:is>
      </x:c>
      <x:c r="C9" s="5" t="inlineStr">
        <x:is>
          <x:t xml:space="preserve">Position inside engine</x:t>
        </x:is>
      </x:c>
      <x:c r="D9" s="5" t="inlineStr">
        <x:is>
          <x:t xml:space="preserve">1</x:t>
        </x:is>
      </x:c>
    </x:row>
    <x:row r="10" ht="24" customHeight="1">
      <x:c r="A10" s="5" t="inlineStr">
        <x:is>
          <x:t xml:space="preserve">test_question</x:t>
        </x:is>
      </x:c>
      <x:c r="B10" s="5" t="inlineStr">
        <x:is>
          <x:t xml:space="preserve">string</x:t>
        </x:is>
      </x:c>
      <x:c r="C10" s="5" t="inlineStr">
        <x:is>
          <x:t xml:space="preserve">Natural-language test prompt</x:t>
        </x:is>
      </x:c>
      <x:c r="D10" s="5" t="inlineStr">
        <x:is>
          <x:t xml:space="preserve">Build a production-ready web app...</x:t>
        </x:is>
      </x:c>
    </x:row>
    <x:row r="11">
      <x:c r="A11" s="5" t="inlineStr">
        <x:is>
          <x:t xml:space="preserve">user_demand_score</x:t>
        </x:is>
      </x:c>
      <x:c r="B11" s="5" t="inlineStr">
        <x:is>
          <x:t xml:space="preserve">integer 0-100</x:t>
        </x:is>
      </x:c>
      <x:c r="C11" s="5" t="inlineStr">
        <x:is>
          <x:t xml:space="preserve">Relative demand score</x:t>
        </x:is>
      </x:c>
      <x:c r="D11" s="5" t="inlineStr">
        <x:is>
          <x:t xml:space="preserve">84</x:t>
        </x:is>
      </x:c>
    </x:row>
    <x:row r="12">
      <x:c r="A12" s="5" t="inlineStr">
        <x:is>
          <x:t xml:space="preserve">estimated_audience_percent</x:t>
        </x:is>
      </x:c>
      <x:c r="B12" s="5" t="inlineStr">
        <x:is>
          <x:t xml:space="preserve">integer 0-100</x:t>
        </x:is>
      </x:c>
      <x:c r="C12" s="5" t="inlineStr">
        <x:is>
          <x:t xml:space="preserve">Directional audience %</x:t>
        </x:is>
      </x:c>
      <x:c r="D12" s="5" t="inlineStr">
        <x:is>
          <x:t xml:space="preserve">84</x:t>
        </x:is>
      </x:c>
    </x:row>
    <x:row r="13">
      <x:c r="A13" s="5" t="inlineStr">
        <x:is>
          <x:t xml:space="preserve">achievability_score</x:t>
        </x:is>
      </x:c>
      <x:c r="B13" s="5" t="inlineStr">
        <x:is>
          <x:t xml:space="preserve">integer 0-100</x:t>
        </x:is>
      </x:c>
      <x:c r="C13" s="5" t="inlineStr">
        <x:is>
          <x:t xml:space="preserve">Current tech achievability</x:t>
        </x:is>
      </x:c>
      <x:c r="D13" s="5" t="inlineStr">
        <x:is>
          <x:t xml:space="preserve">92</x:t>
        </x:is>
      </x:c>
    </x:row>
    <x:row r="14">
      <x:c r="A14" s="5" t="inlineStr">
        <x:is>
          <x:t xml:space="preserve">business_value_score</x:t>
        </x:is>
      </x:c>
      <x:c r="B14" s="5" t="inlineStr">
        <x:is>
          <x:t xml:space="preserve">integer 0-100</x:t>
        </x:is>
      </x:c>
      <x:c r="C14" s="5" t="inlineStr">
        <x:is>
          <x:t xml:space="preserve">Value if solved well</x:t>
        </x:is>
      </x:c>
      <x:c r="D14" s="5" t="inlineStr">
        <x:is>
          <x:t xml:space="preserve">88</x:t>
        </x:is>
      </x:c>
    </x:row>
    <x:row r="15">
      <x:c r="A15" s="5" t="inlineStr">
        <x:is>
          <x:t xml:space="preserve">current_gpo_status</x:t>
        </x:is>
      </x:c>
      <x:c r="B15" s="5" t="inlineStr">
        <x:is>
          <x:t xml:space="preserve">enum</x:t>
        </x:is>
      </x:c>
      <x:c r="C15" s="5" t="inlineStr">
        <x:is>
          <x:t xml:space="preserve">Execution state</x:t>
        </x:is>
      </x:c>
      <x:c r="D15" s="5" t="inlineStr">
        <x:is>
          <x:t xml:space="preserve">UNTESTED</x:t>
        </x:is>
      </x:c>
    </x:row>
    <x:row r="16">
      <x:c r="A16" s="5" t="inlineStr">
        <x:is>
          <x:t xml:space="preserve">blocking_layer</x:t>
        </x:is>
      </x:c>
      <x:c r="B16" s="5" t="inlineStr">
        <x:is>
          <x:t xml:space="preserve">enum/string</x:t>
        </x:is>
      </x:c>
      <x:c r="C16" s="5" t="inlineStr">
        <x:is>
          <x:t xml:space="preserve">Failure bucket</x:t>
        </x:is>
      </x:c>
      <x:c r="D16" s="5" t="inlineStr">
        <x:is>
          <x:t xml:space="preserve">routing</x:t>
        </x:is>
      </x:c>
    </x:row>
    <x:row r="17">
      <x:c r="A17" s="5" t="inlineStr">
        <x:is>
          <x:t xml:space="preserve">required_capabilities</x:t>
        </x:is>
      </x:c>
      <x:c r="B17" s="5" t="inlineStr">
        <x:is>
          <x:t xml:space="preserve">string</x:t>
        </x:is>
      </x:c>
      <x:c r="C17" s="5" t="inlineStr">
        <x:is>
          <x:t xml:space="preserve">Semicolon-delimited capability list</x:t>
        </x:is>
      </x:c>
      <x:c r="D17" s="5" t="inlineStr">
        <x:is>
          <x:t xml:space="preserve">routing; code reasoning; repo context</x:t>
        </x:is>
      </x:c>
    </x:row>
    <x:row r="18">
      <x:c r="A18" s="5" t="inlineStr">
        <x:is>
          <x:t xml:space="preserve">needs_web</x:t>
        </x:is>
      </x:c>
      <x:c r="B18" s="5" t="inlineStr">
        <x:is>
          <x:t xml:space="preserve">enum</x:t>
        </x:is>
      </x:c>
      <x:c r="C18" s="5" t="inlineStr">
        <x:is>
          <x:t xml:space="preserve">No / Low / Medium / High</x:t>
        </x:is>
      </x:c>
      <x:c r="D18" s="5" t="inlineStr">
        <x:is>
          <x:t xml:space="preserve">No</x:t>
        </x:is>
      </x:c>
    </x:row>
    <x:row r="19">
      <x:c r="A19" s="5" t="inlineStr">
        <x:is>
          <x:t xml:space="preserve">needs_memory</x:t>
        </x:is>
      </x:c>
      <x:c r="B19" s="5" t="inlineStr">
        <x:is>
          <x:t xml:space="preserve">enum</x:t>
        </x:is>
      </x:c>
      <x:c r="C19" s="5" t="inlineStr">
        <x:is>
          <x:t xml:space="preserve">No / Low / Medium / High</x:t>
        </x:is>
      </x:c>
      <x:c r="D19" s="5" t="inlineStr">
        <x:is>
          <x:t xml:space="preserve">Medium</x:t>
        </x:is>
      </x:c>
    </x:row>
    <x:row r="20">
      <x:c r="A20" s="5" t="inlineStr">
        <x:is>
          <x:t xml:space="preserve">needs_tooling</x:t>
        </x:is>
      </x:c>
      <x:c r="B20" s="5" t="inlineStr">
        <x:is>
          <x:t xml:space="preserve">enum</x:t>
        </x:is>
      </x:c>
      <x:c r="C20" s="5" t="inlineStr">
        <x:is>
          <x:t xml:space="preserve">No / Low / Medium / High</x:t>
        </x:is>
      </x:c>
      <x:c r="D20" s="5" t="inlineStr">
        <x:is>
          <x:t xml:space="preserve">High</x:t>
        </x:is>
      </x:c>
    </x:row>
    <x:row r="21">
      <x:c r="A21" s="5" t="inlineStr">
        <x:is>
          <x:t xml:space="preserve">needs_multi_agent</x:t>
        </x:is>
      </x:c>
      <x:c r="B21" s="5" t="inlineStr">
        <x:is>
          <x:t xml:space="preserve">enum</x:t>
        </x:is>
      </x:c>
      <x:c r="C21" s="5" t="inlineStr">
        <x:is>
          <x:t xml:space="preserve">No / Low / Medium / High</x:t>
        </x:is>
      </x:c>
      <x:c r="D21" s="5" t="inlineStr">
        <x:is>
          <x:t xml:space="preserve">Medium</x:t>
        </x:is>
      </x:c>
    </x:row>
    <x:row r="22">
      <x:c r="A22" s="5" t="inlineStr">
        <x:is>
          <x:t xml:space="preserve">needs_approval</x:t>
        </x:is>
      </x:c>
      <x:c r="B22" s="5" t="inlineStr">
        <x:is>
          <x:t xml:space="preserve">enum</x:t>
        </x:is>
      </x:c>
      <x:c r="C22" s="5" t="inlineStr">
        <x:is>
          <x:t xml:space="preserve">No / Low / Medium / High</x:t>
        </x:is>
      </x:c>
      <x:c r="D22" s="5" t="inlineStr">
        <x:is>
          <x:t xml:space="preserve">Low</x:t>
        </x:is>
      </x:c>
    </x:row>
    <x:row r="23">
      <x:c r="A23" s="5" t="inlineStr">
        <x:is>
          <x:t xml:space="preserve">provider_preference</x:t>
        </x:is>
      </x:c>
      <x:c r="B23" s="5" t="inlineStr">
        <x:is>
          <x:t xml:space="preserve">string</x:t>
        </x:is>
      </x:c>
      <x:c r="C23" s="5" t="inlineStr">
        <x:is>
          <x:t xml:space="preserve">Recommended model/provider route</x:t>
        </x:is>
      </x:c>
      <x:c r="D23" s="5" t="inlineStr">
        <x:is>
          <x:t xml:space="preserve">Claude Code primary; ChatGPT critique</x:t>
        </x:is>
      </x:c>
    </x:row>
    <x:row r="24">
      <x:c r="A24" s="5" t="inlineStr">
        <x:is>
          <x:t xml:space="preserve">difficulty</x:t>
        </x:is>
      </x:c>
      <x:c r="B24" s="5" t="inlineStr">
        <x:is>
          <x:t xml:space="preserve">enum</x:t>
        </x:is>
      </x:c>
      <x:c r="C24" s="5" t="inlineStr">
        <x:is>
          <x:t xml:space="preserve">Easy / Medium / Hard</x:t>
        </x:is>
      </x:c>
      <x:c r="D24" s="5" t="inlineStr">
        <x:is>
          <x:t xml:space="preserve">Easy</x:t>
        </x:is>
      </x:c>
    </x:row>
    <x:row r="25">
      <x:c r="A25" s="5" t="inlineStr">
        <x:is>
          <x:t xml:space="preserve">difficulty_score</x:t>
        </x:is>
      </x:c>
      <x:c r="B25" s="5" t="inlineStr">
        <x:is>
          <x:t xml:space="preserve">integer 1-3</x:t>
        </x:is>
      </x:c>
      <x:c r="C25" s="5" t="inlineStr">
        <x:is>
          <x:t xml:space="preserve">1 easy, 3 hard</x:t>
        </x:is>
      </x:c>
      <x:c r="D25" s="5" t="inlineStr">
        <x:is>
          <x:t xml:space="preserve">1</x:t>
        </x:is>
      </x:c>
    </x:row>
    <x:row r="26">
      <x:c r="A26" s="5" t="inlineStr">
        <x:is>
          <x:t xml:space="preserve">test_method</x:t>
        </x:is>
      </x:c>
      <x:c r="B26" s="5" t="inlineStr">
        <x:is>
          <x:t xml:space="preserve">string</x:t>
        </x:is>
      </x:c>
      <x:c r="C26" s="5" t="inlineStr">
        <x:is>
          <x:t xml:space="preserve">How to validate</x:t>
        </x:is>
      </x:c>
      <x:c r="D26" s="5" t="inlineStr">
        <x:is>
          <x:t xml:space="preserve">Live execution + code diff + output review</x:t>
        </x:is>
      </x:c>
    </x:row>
    <x:row r="27">
      <x:c r="A27" s="5" t="inlineStr">
        <x:is>
          <x:t xml:space="preserve">expected_output_type</x:t>
        </x:is>
      </x:c>
      <x:c r="B27" s="5" t="inlineStr">
        <x:is>
          <x:t xml:space="preserve">string</x:t>
        </x:is>
      </x:c>
      <x:c r="C27" s="5" t="inlineStr">
        <x:is>
          <x:t xml:space="preserve">Expected deliverable shape</x:t>
        </x:is>
      </x:c>
      <x:c r="D27" s="5" t="inlineStr">
        <x:is>
          <x:t xml:space="preserve">code patch / spec / architecture</x:t>
        </x:is>
      </x:c>
    </x:row>
    <x:row r="28">
      <x:c r="A28" s="5" t="inlineStr">
        <x:is>
          <x:t xml:space="preserve">pass_criteria</x:t>
        </x:is>
      </x:c>
      <x:c r="B28" s="5" t="inlineStr">
        <x:is>
          <x:t xml:space="preserve">string</x:t>
        </x:is>
      </x:c>
      <x:c r="C28" s="5" t="inlineStr">
        <x:is>
          <x:t xml:space="preserve">Definition of pass</x:t>
        </x:is>
      </x:c>
      <x:c r="D28" s="5" t="inlineStr">
        <x:is>
          <x:t xml:space="preserve">Produces correct technical plan or working code</x:t>
        </x:is>
      </x:c>
    </x:row>
    <x:row r="29">
      <x:c r="A29" s="5" t="inlineStr">
        <x:is>
          <x:t xml:space="preserve">failure_signal</x:t>
        </x:is>
      </x:c>
      <x:c r="B29" s="5" t="inlineStr">
        <x:is>
          <x:t xml:space="preserve">string</x:t>
        </x:is>
      </x:c>
      <x:c r="C29" s="5" t="inlineStr">
        <x:is>
          <x:t xml:space="preserve">Definition of fail</x:t>
        </x:is>
      </x:c>
      <x:c r="D29" s="5" t="inlineStr">
        <x:is>
          <x:t xml:space="preserve">Hallucinated codebase facts</x:t>
        </x:is>
      </x:c>
    </x:row>
    <x:row r="30">
      <x:c r="A30" s="5" t="inlineStr">
        <x:is>
          <x:t xml:space="preserve">suggested_fix_type</x:t>
        </x:is>
      </x:c>
      <x:c r="B30" s="5" t="inlineStr">
        <x:is>
          <x:t xml:space="preserve">string</x:t>
        </x:is>
      </x:c>
      <x:c r="C30" s="5" t="inlineStr">
        <x:is>
          <x:t xml:space="preserve">Likely fix family</x:t>
        </x:is>
      </x:c>
      <x:c r="D30" s="5" t="inlineStr">
        <x:is>
          <x:t xml:space="preserve">routing / tool wiring</x:t>
        </x:is>
      </x:c>
    </x:row>
    <x:row r="31">
      <x:c r="A31" s="5" t="inlineStr">
        <x:is>
          <x:t xml:space="preserve">notes</x:t>
        </x:is>
      </x:c>
      <x:c r="B31" s="5" t="inlineStr">
        <x:is>
          <x:t xml:space="preserve">string</x:t>
        </x:is>
      </x:c>
      <x:c r="C31" s="5" t="inlineStr">
        <x:is>
          <x:t xml:space="preserve">Operator notes or links</x:t>
        </x:is>
      </x:c>
      <x:c r="D31" s="5" t="inlineStr">
        <x:is>
          <x:t xml:space="preserve"/>
        </x:is>
      </x:c>
    </x:row>
    <x:row r="32">
      <x:c r="A32" s="5" t="inlineStr">
        <x:is>
          <x:t xml:space="preserve">evidence_basis</x:t>
        </x:is>
      </x:c>
      <x:c r="B32" s="5" t="inlineStr">
        <x:is>
          <x:t xml:space="preserve">string</x:t>
        </x:is>
      </x:c>
      <x:c r="C32" s="5" t="inlineStr">
        <x:is>
          <x:t xml:space="preserve">Demand rationale</x:t>
        </x:is>
      </x:c>
      <x:c r="D32" s="5" t="inlineStr">
        <x:is>
          <x:t xml:space="preserve">OpenAI usage + Menlo coding spend</x:t>
        </x:is>
      </x:c>
    </x:row>
    <x:row r="33">
      <x:c r="A33" s="5" t="inlineStr">
        <x:is>
          <x:t xml:space="preserve">source_basis</x:t>
        </x:is>
      </x:c>
      <x:c r="B33" s="5" t="inlineStr">
        <x:is>
          <x:t xml:space="preserve">string</x:t>
        </x:is>
      </x:c>
      <x:c r="C33" s="5" t="inlineStr">
        <x:is>
          <x:t xml:space="preserve">Source grouping</x:t>
        </x:is>
      </x:c>
      <x:c r="D33" s="5" t="inlineStr">
        <x:is>
          <x:t xml:space="preserve">OpenAI; Menlo; Deloitte</x:t>
        </x:is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642804ceac1435a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6" customWidth="1"/>
    <x:col min="3" max="3" width="28" customWidth="1"/>
    <x:col min="4" max="4" width="14" customWidth="1"/>
    <x:col min="5" max="5" width="78" customWidth="1"/>
    <x:col min="6" max="6" width="10" customWidth="1"/>
    <x:col min="7" max="7" width="14" customWidth="1"/>
    <x:col min="8" max="8" width="12" customWidth="1"/>
    <x:col min="9" max="9" width="12" customWidth="1"/>
    <x:col min="10" max="10" width="18" customWidth="1"/>
  </x:cols>
  <x:sheetData>
    <x:row r="1" ht="24" customHeight="1">
      <x:c r="A1" s="1" t="inlineStr">
        <x:is>
          <x:t xml:space="preserve">Top 90 Immediate Execution Queue</x:t>
        </x:is>
      </x:c>
    </x:row>
    <x:row r="2" ht="24" customHeight="1"/>
    <x:row r="3" ht="24" customHeight="1">
      <x:c r="A3" s="18" t="inlineStr">
        <x:is>
          <x:t xml:space="preserve">Rank</x:t>
        </x:is>
      </x:c>
      <x:c r="B3" s="18" t="inlineStr">
        <x:is>
          <x:t xml:space="preserve">Test Case ID</x:t>
        </x:is>
      </x:c>
      <x:c r="C3" s="18" t="inlineStr">
        <x:is>
          <x:t xml:space="preserve">Engine</x:t>
        </x:is>
      </x:c>
      <x:c r="D3" s="18" t="inlineStr">
        <x:is>
          <x:t xml:space="preserve">Set</x:t>
        </x:is>
      </x:c>
      <x:c r="E3" s="18" t="inlineStr">
        <x:is>
          <x:t xml:space="preserve">Question</x:t>
        </x:is>
      </x:c>
      <x:c r="F3" s="18" t="inlineStr">
        <x:is>
          <x:t xml:space="preserve">Demand</x:t>
        </x:is>
      </x:c>
      <x:c r="G3" s="18" t="inlineStr">
        <x:is>
          <x:t xml:space="preserve">Achievability</x:t>
        </x:is>
      </x:c>
      <x:c r="H3" s="18" t="inlineStr">
        <x:is>
          <x:t xml:space="preserve">Difficulty</x:t>
        </x:is>
      </x:c>
      <x:c r="I3" s="18" t="inlineStr">
        <x:is>
          <x:t xml:space="preserve">Focus %</x:t>
        </x:is>
      </x:c>
      <x:c r="J3" s="18" t="inlineStr">
        <x:is>
          <x:t xml:space="preserve">Recommended Batch</x:t>
        </x:is>
      </x:c>
    </x:row>
    <x:row r="4" ht="24" customHeight="1">
      <x:c r="A4" s="5" t="n">
        <x:v>1</x:v>
      </x:c>
      <x:c r="B4" s="5" t="inlineStr">
        <x:is>
          <x:t xml:space="preserve">GPO-COD-01</x:t>
        </x:is>
      </x:c>
      <x:c r="C4" s="5" t="inlineStr">
        <x:is>
          <x:t xml:space="preserve">Code &amp; Product Engineering</x:t>
        </x:is>
      </x:c>
      <x:c r="D4" s="5" t="inlineStr">
        <x:is>
          <x:t xml:space="preserve">Core 150</x:t>
        </x:is>
      </x:c>
      <x:c r="E4" s="5" t="inlineStr">
        <x:is>
          <x:t xml:space="preserve">Build a production-ready web app with authentication, billing, admin, tests, and deployment docs.</x:t>
        </x:is>
      </x:c>
      <x:c r="F4" s="5" t="n">
        <x:v>84</x:v>
      </x:c>
      <x:c r="G4" s="5" t="n">
        <x:v>92</x:v>
      </x:c>
      <x:c r="H4" s="5" t="inlineStr">
        <x:is>
          <x:t xml:space="preserve">Easy</x:t>
        </x:is>
      </x:c>
      <x:c r="I4" s="5">
        <x:f>INDEX('Harness V2'!$AF$5:$AF$364,MATCH(B4,'Harness V2'!$A$5:$A$364,0))</x:f>
        <x:v>83</x:v>
      </x:c>
      <x:c r="J4" s="5" t="str">
        <x:f>INDEX('Harness V2'!$AG$5:$AG$364,MATCH(B4,'Harness V2'!$A$5:$A$364,0))</x:f>
        <x:v>Batch 1</x:v>
      </x:c>
    </x:row>
    <x:row r="5" ht="24" customHeight="1">
      <x:c r="A5" s="5" t="n">
        <x:v>2</x:v>
      </x:c>
      <x:c r="B5" s="5" t="inlineStr">
        <x:is>
          <x:t xml:space="preserve">GPO-WRI-01</x:t>
        </x:is>
      </x:c>
      <x:c r="C5" s="5" t="inlineStr">
        <x:is>
          <x:t xml:space="preserve">Writing &amp; Documentation</x:t>
        </x:is>
      </x:c>
      <x:c r="D5" s="5" t="inlineStr">
        <x:is>
          <x:t xml:space="preserve">Core 150</x:t>
        </x:is>
      </x:c>
      <x:c r="E5" s="5" t="inlineStr">
        <x:is>
          <x:t xml:space="preserve">Draft a high-stakes email to a stakeholder that is sharp, persuasive, and human.</x:t>
        </x:is>
      </x:c>
      <x:c r="F5" s="5" t="n">
        <x:v>82</x:v>
      </x:c>
      <x:c r="G5" s="5" t="n">
        <x:v>94</x:v>
      </x:c>
      <x:c r="H5" s="5" t="inlineStr">
        <x:is>
          <x:t xml:space="preserve">Easy</x:t>
        </x:is>
      </x:c>
      <x:c r="I5" s="5">
        <x:f>INDEX('Harness V2'!$AF$5:$AF$364,MATCH(B5,'Harness V2'!$A$5:$A$364,0))</x:f>
        <x:v>85</x:v>
      </x:c>
      <x:c r="J5" s="5" t="str">
        <x:f>INDEX('Harness V2'!$AG$5:$AG$364,MATCH(B5,'Harness V2'!$A$5:$A$364,0))</x:f>
        <x:v>Batch 1</x:v>
      </x:c>
    </x:row>
    <x:row r="6" ht="24" customHeight="1">
      <x:c r="A6" s="5" t="n">
        <x:v>3</x:v>
      </x:c>
      <x:c r="B6" s="5" t="inlineStr">
        <x:is>
          <x:t xml:space="preserve">GPO-COD-02</x:t>
        </x:is>
      </x:c>
      <x:c r="C6" s="5" t="inlineStr">
        <x:is>
          <x:t xml:space="preserve">Code &amp; Product Engineering</x:t>
        </x:is>
      </x:c>
      <x:c r="D6" s="5" t="inlineStr">
        <x:is>
          <x:t xml:space="preserve">Core 150</x:t>
        </x:is>
      </x:c>
      <x:c r="E6" s="5" t="inlineStr">
        <x:is>
          <x:t xml:space="preserve">Debug why service or pipeline is failing in production and give the exact fix path.</x:t>
        </x:is>
      </x:c>
      <x:c r="F6" s="5" t="n">
        <x:v>82</x:v>
      </x:c>
      <x:c r="G6" s="5" t="n">
        <x:v>91</x:v>
      </x:c>
      <x:c r="H6" s="5" t="inlineStr">
        <x:is>
          <x:t xml:space="preserve">Easy</x:t>
        </x:is>
      </x:c>
      <x:c r="I6" s="5">
        <x:f>INDEX('Harness V2'!$AF$5:$AF$364,MATCH(B6,'Harness V2'!$A$5:$A$364,0))</x:f>
        <x:v>82</x:v>
      </x:c>
      <x:c r="J6" s="5" t="str">
        <x:f>INDEX('Harness V2'!$AG$5:$AG$364,MATCH(B6,'Harness V2'!$A$5:$A$364,0))</x:f>
        <x:v>Batch 1</x:v>
      </x:c>
    </x:row>
    <x:row r="7" ht="24" customHeight="1">
      <x:c r="A7" s="5" t="n">
        <x:v>4</x:v>
      </x:c>
      <x:c r="B7" s="5" t="inlineStr">
        <x:is>
          <x:t xml:space="preserve">GPO-WRI-02</x:t>
        </x:is>
      </x:c>
      <x:c r="C7" s="5" t="inlineStr">
        <x:is>
          <x:t xml:space="preserve">Writing &amp; Documentation</x:t>
        </x:is>
      </x:c>
      <x:c r="D7" s="5" t="inlineStr">
        <x:is>
          <x:t xml:space="preserve">Core 150</x:t>
        </x:is>
      </x:c>
      <x:c r="E7" s="5" t="inlineStr">
        <x:is>
          <x:t xml:space="preserve">Turn my rough thoughts into a polished PRD/spec/one-pager for this initiative.</x:t>
        </x:is>
      </x:c>
      <x:c r="F7" s="5" t="n">
        <x:v>80</x:v>
      </x:c>
      <x:c r="G7" s="5" t="n">
        <x:v>93</x:v>
      </x:c>
      <x:c r="H7" s="5" t="inlineStr">
        <x:is>
          <x:t xml:space="preserve">Easy</x:t>
        </x:is>
      </x:c>
      <x:c r="I7" s="5">
        <x:f>INDEX('Harness V2'!$AF$5:$AF$364,MATCH(B7,'Harness V2'!$A$5:$A$364,0))</x:f>
        <x:v>83</x:v>
      </x:c>
      <x:c r="J7" s="5" t="str">
        <x:f>INDEX('Harness V2'!$AG$5:$AG$364,MATCH(B7,'Harness V2'!$A$5:$A$364,0))</x:f>
        <x:v>Batch 1</x:v>
      </x:c>
    </x:row>
    <x:row r="8" ht="24" customHeight="1">
      <x:c r="A8" s="5" t="n">
        <x:v>5</x:v>
      </x:c>
      <x:c r="B8" s="5" t="inlineStr">
        <x:is>
          <x:t xml:space="preserve">GPO-COD-03</x:t>
        </x:is>
      </x:c>
      <x:c r="C8" s="5" t="inlineStr">
        <x:is>
          <x:t xml:space="preserve">Code &amp; Product Engineering</x:t>
        </x:is>
      </x:c>
      <x:c r="D8" s="5" t="inlineStr">
        <x:is>
          <x:t xml:space="preserve">Core 150</x:t>
        </x:is>
      </x:c>
      <x:c r="E8" s="5" t="inlineStr">
        <x:is>
          <x:t xml:space="preserve">Refactor this codebase for performance, readability, and enterprise maintainability without breaking behavior.</x:t>
        </x:is>
      </x:c>
      <x:c r="F8" s="5" t="n">
        <x:v>81</x:v>
      </x:c>
      <x:c r="G8" s="5" t="n">
        <x:v>90</x:v>
      </x:c>
      <x:c r="H8" s="5" t="inlineStr">
        <x:is>
          <x:t xml:space="preserve">Easy</x:t>
        </x:is>
      </x:c>
      <x:c r="I8" s="5">
        <x:f>INDEX('Harness V2'!$AF$5:$AF$364,MATCH(B8,'Harness V2'!$A$5:$A$364,0))</x:f>
        <x:v>81</x:v>
      </x:c>
      <x:c r="J8" s="5" t="str">
        <x:f>INDEX('Harness V2'!$AG$5:$AG$364,MATCH(B8,'Harness V2'!$A$5:$A$364,0))</x:f>
        <x:v>Batch 1</x:v>
      </x:c>
    </x:row>
    <x:row r="9" ht="24" customHeight="1">
      <x:c r="A9" s="5" t="n">
        <x:v>6</x:v>
      </x:c>
      <x:c r="B9" s="5" t="inlineStr">
        <x:is>
          <x:t xml:space="preserve">GPO-WRI-03</x:t>
        </x:is>
      </x:c>
      <x:c r="C9" s="5" t="inlineStr">
        <x:is>
          <x:t xml:space="preserve">Writing &amp; Documentation</x:t>
        </x:is>
      </x:c>
      <x:c r="D9" s="5" t="inlineStr">
        <x:is>
          <x:t xml:space="preserve">Core 150</x:t>
        </x:is>
      </x:c>
      <x:c r="E9" s="5" t="inlineStr">
        <x:is>
          <x:t xml:space="preserve">Rewrite this document so it sounds executive-ready but still precise and concrete.</x:t>
        </x:is>
      </x:c>
      <x:c r="F9" s="5" t="n">
        <x:v>79</x:v>
      </x:c>
      <x:c r="G9" s="5" t="n">
        <x:v>92</x:v>
      </x:c>
      <x:c r="H9" s="5" t="inlineStr">
        <x:is>
          <x:t xml:space="preserve">Easy</x:t>
        </x:is>
      </x:c>
      <x:c r="I9" s="5">
        <x:f>INDEX('Harness V2'!$AF$5:$AF$364,MATCH(B9,'Harness V2'!$A$5:$A$364,0))</x:f>
        <x:v>83</x:v>
      </x:c>
      <x:c r="J9" s="5" t="str">
        <x:f>INDEX('Harness V2'!$AG$5:$AG$364,MATCH(B9,'Harness V2'!$A$5:$A$364,0))</x:f>
        <x:v>Batch 1</x:v>
      </x:c>
    </x:row>
    <x:row r="10" ht="24" customHeight="1">
      <x:c r="A10" s="5" t="n">
        <x:v>7</x:v>
      </x:c>
      <x:c r="B10" s="5" t="inlineStr">
        <x:is>
          <x:t xml:space="preserve">GPO-COD-04</x:t>
        </x:is>
      </x:c>
      <x:c r="C10" s="5" t="inlineStr">
        <x:is>
          <x:t xml:space="preserve">Code &amp; Product Engineering</x:t>
        </x:is>
      </x:c>
      <x:c r="D10" s="5" t="inlineStr">
        <x:is>
          <x:t xml:space="preserve">Core 150</x:t>
        </x:is>
      </x:c>
      <x:c r="E10" s="5" t="inlineStr">
        <x:is>
          <x:t xml:space="preserve">Design the full architecture for platform including database schema, queues, APIs, auth, and observability.</x:t>
        </x:is>
      </x:c>
      <x:c r="F10" s="5" t="n">
        <x:v>79</x:v>
      </x:c>
      <x:c r="G10" s="5" t="n">
        <x:v>90</x:v>
      </x:c>
      <x:c r="H10" s="5" t="inlineStr">
        <x:is>
          <x:t xml:space="preserve">Easy</x:t>
        </x:is>
      </x:c>
      <x:c r="I10" s="5">
        <x:f>INDEX('Harness V2'!$AF$5:$AF$364,MATCH(B10,'Harness V2'!$A$5:$A$364,0))</x:f>
        <x:v>81</x:v>
      </x:c>
      <x:c r="J10" s="5" t="str">
        <x:f>INDEX('Harness V2'!$AG$5:$AG$364,MATCH(B10,'Harness V2'!$A$5:$A$364,0))</x:f>
        <x:v>Batch 1</x:v>
      </x:c>
    </x:row>
    <x:row r="11">
      <x:c r="A11" s="5" t="n">
        <x:v>8</x:v>
      </x:c>
      <x:c r="B11" s="5" t="inlineStr">
        <x:is>
          <x:t xml:space="preserve">GPO-RES-01</x:t>
        </x:is>
      </x:c>
      <x:c r="C11" s="5" t="inlineStr">
        <x:is>
          <x:t xml:space="preserve">Research &amp; Analysis</x:t>
        </x:is>
      </x:c>
      <x:c r="D11" s="5" t="inlineStr">
        <x:is>
          <x:t xml:space="preserve">Core 150</x:t>
        </x:is>
      </x:c>
      <x:c r="E11" s="5" t="inlineStr">
        <x:is>
          <x:t xml:space="preserve">Research the market for the market and tell me whether it is actually worth building.</x:t>
        </x:is>
      </x:c>
      <x:c r="F11" s="5" t="n">
        <x:v>80</x:v>
      </x:c>
      <x:c r="G11" s="5" t="n">
        <x:v>88</x:v>
      </x:c>
      <x:c r="H11" s="5" t="inlineStr">
        <x:is>
          <x:t xml:space="preserve">Easy</x:t>
        </x:is>
      </x:c>
      <x:c r="I11" s="5">
        <x:f>INDEX('Harness V2'!$AF$5:$AF$364,MATCH(B11,'Harness V2'!$A$5:$A$364,0))</x:f>
        <x:v>79</x:v>
      </x:c>
      <x:c r="J11" s="5" t="str">
        <x:f>INDEX('Harness V2'!$AG$5:$AG$364,MATCH(B11,'Harness V2'!$A$5:$A$364,0))</x:f>
        <x:v>Batch 2</x:v>
      </x:c>
    </x:row>
    <x:row r="12">
      <x:c r="A12" s="5" t="n">
        <x:v>9</x:v>
      </x:c>
      <x:c r="B12" s="5" t="inlineStr">
        <x:is>
          <x:t xml:space="preserve">GPO-WRI-04</x:t>
        </x:is>
      </x:c>
      <x:c r="C12" s="5" t="inlineStr">
        <x:is>
          <x:t xml:space="preserve">Writing &amp; Documentation</x:t>
        </x:is>
      </x:c>
      <x:c r="D12" s="5" t="inlineStr">
        <x:is>
          <x:t xml:space="preserve">Core 150</x:t>
        </x:is>
      </x:c>
      <x:c r="E12" s="5" t="inlineStr">
        <x:is>
          <x:t xml:space="preserve">Summarize this long document/thread into the key decisions, risks, and next steps.</x:t>
        </x:is>
      </x:c>
      <x:c r="F12" s="5" t="n">
        <x:v>77</x:v>
      </x:c>
      <x:c r="G12" s="5" t="n">
        <x:v>92</x:v>
      </x:c>
      <x:c r="H12" s="5" t="inlineStr">
        <x:is>
          <x:t xml:space="preserve">Easy</x:t>
        </x:is>
      </x:c>
      <x:c r="I12" s="5">
        <x:f>INDEX('Harness V2'!$AF$5:$AF$364,MATCH(B12,'Harness V2'!$A$5:$A$364,0))</x:f>
        <x:v>82</x:v>
      </x:c>
      <x:c r="J12" s="5" t="str">
        <x:f>INDEX('Harness V2'!$AG$5:$AG$364,MATCH(B12,'Harness V2'!$A$5:$A$364,0))</x:f>
        <x:v>Batch 1</x:v>
      </x:c>
    </x:row>
    <x:row r="13">
      <x:c r="A13" s="5" t="n">
        <x:v>10</x:v>
      </x:c>
      <x:c r="B13" s="5" t="inlineStr">
        <x:is>
          <x:t xml:space="preserve">GPO-LEA-01</x:t>
        </x:is>
      </x:c>
      <x:c r="C13" s="5" t="inlineStr">
        <x:is>
          <x:t xml:space="preserve">Learning &amp; Tutoring</x:t>
        </x:is>
      </x:c>
      <x:c r="D13" s="5" t="inlineStr">
        <x:is>
          <x:t xml:space="preserve">Core 150</x:t>
        </x:is>
      </x:c>
      <x:c r="E13" s="5" t="inlineStr">
        <x:is>
          <x:t xml:space="preserve">Teach me the subject from beginner to advanced with a personalized study plan.</x:t>
        </x:is>
      </x:c>
      <x:c r="F13" s="5" t="n">
        <x:v>78</x:v>
      </x:c>
      <x:c r="G13" s="5" t="n">
        <x:v>90</x:v>
      </x:c>
      <x:c r="H13" s="5" t="inlineStr">
        <x:is>
          <x:t xml:space="preserve">Easy</x:t>
        </x:is>
      </x:c>
      <x:c r="I13" s="5">
        <x:f>INDEX('Harness V2'!$AF$5:$AF$364,MATCH(B13,'Harness V2'!$A$5:$A$364,0))</x:f>
        <x:v>81</x:v>
      </x:c>
      <x:c r="J13" s="5" t="str">
        <x:f>INDEX('Harness V2'!$AG$5:$AG$364,MATCH(B13,'Harness V2'!$A$5:$A$364,0))</x:f>
        <x:v>Batch 1</x:v>
      </x:c>
    </x:row>
    <x:row r="14">
      <x:c r="A14" s="5" t="n">
        <x:v>11</x:v>
      </x:c>
      <x:c r="B14" s="5" t="inlineStr">
        <x:is>
          <x:t xml:space="preserve">GPO-COD-05</x:t>
        </x:is>
      </x:c>
      <x:c r="C14" s="5" t="inlineStr">
        <x:is>
          <x:t xml:space="preserve">Code &amp; Product Engineering</x:t>
        </x:is>
      </x:c>
      <x:c r="D14" s="5" t="inlineStr">
        <x:is>
          <x:t xml:space="preserve">Core 150</x:t>
        </x:is>
      </x:c>
      <x:c r="E14" s="5" t="inlineStr">
        <x:is>
          <x:t xml:space="preserve">Generate a step-by-step migration plan from legacy stack to modern stack with rollback safety.</x:t>
        </x:is>
      </x:c>
      <x:c r="F14" s="5" t="n">
        <x:v>77</x:v>
      </x:c>
      <x:c r="G14" s="5" t="n">
        <x:v>89</x:v>
      </x:c>
      <x:c r="H14" s="5" t="inlineStr">
        <x:is>
          <x:t xml:space="preserve">Easy</x:t>
        </x:is>
      </x:c>
      <x:c r="I14" s="5">
        <x:f>INDEX('Harness V2'!$AF$5:$AF$364,MATCH(B14,'Harness V2'!$A$5:$A$364,0))</x:f>
        <x:v>79</x:v>
      </x:c>
      <x:c r="J14" s="5" t="str">
        <x:f>INDEX('Harness V2'!$AG$5:$AG$364,MATCH(B14,'Harness V2'!$A$5:$A$364,0))</x:f>
        <x:v>Batch 2</x:v>
      </x:c>
    </x:row>
    <x:row r="15">
      <x:c r="A15" s="5" t="n">
        <x:v>12</x:v>
      </x:c>
      <x:c r="B15" s="5" t="inlineStr">
        <x:is>
          <x:t xml:space="preserve">GPO-RES-02</x:t>
        </x:is>
      </x:c>
      <x:c r="C15" s="5" t="inlineStr">
        <x:is>
          <x:t xml:space="preserve">Research &amp; Analysis</x:t>
        </x:is>
      </x:c>
      <x:c r="D15" s="5" t="inlineStr">
        <x:is>
          <x:t xml:space="preserve">Core 150</x:t>
        </x:is>
      </x:c>
      <x:c r="E15" s="5" t="inlineStr">
        <x:is>
          <x:t xml:space="preserve">Compare option A and option B with current facts, tradeoffs, and recommendation.</x:t>
        </x:is>
      </x:c>
      <x:c r="F15" s="5" t="n">
        <x:v>78</x:v>
      </x:c>
      <x:c r="G15" s="5" t="n">
        <x:v>87</x:v>
      </x:c>
      <x:c r="H15" s="5" t="inlineStr">
        <x:is>
          <x:t xml:space="preserve">Easy</x:t>
        </x:is>
      </x:c>
      <x:c r="I15" s="5">
        <x:f>INDEX('Harness V2'!$AF$5:$AF$364,MATCH(B15,'Harness V2'!$A$5:$A$364,0))</x:f>
        <x:v>78</x:v>
      </x:c>
      <x:c r="J15" s="5" t="str">
        <x:f>INDEX('Harness V2'!$AG$5:$AG$364,MATCH(B15,'Harness V2'!$A$5:$A$364,0))</x:f>
        <x:v>Batch 2</x:v>
      </x:c>
    </x:row>
    <x:row r="16">
      <x:c r="A16" s="5" t="n">
        <x:v>13</x:v>
      </x:c>
      <x:c r="B16" s="5" t="inlineStr">
        <x:is>
          <x:t xml:space="preserve">GPO-WRI-05</x:t>
        </x:is>
      </x:c>
      <x:c r="C16" s="5" t="inlineStr">
        <x:is>
          <x:t xml:space="preserve">Writing &amp; Documentation</x:t>
        </x:is>
      </x:c>
      <x:c r="D16" s="5" t="inlineStr">
        <x:is>
          <x:t xml:space="preserve">Core 150</x:t>
        </x:is>
      </x:c>
      <x:c r="E16" s="5" t="inlineStr">
        <x:is>
          <x:t xml:space="preserve">Write a clear SOP/runbook for the process that another team can execute without me.</x:t>
        </x:is>
      </x:c>
      <x:c r="F16" s="5" t="n">
        <x:v>75</x:v>
      </x:c>
      <x:c r="G16" s="5" t="n">
        <x:v>91</x:v>
      </x:c>
      <x:c r="H16" s="5" t="inlineStr">
        <x:is>
          <x:t xml:space="preserve">Easy</x:t>
        </x:is>
      </x:c>
      <x:c r="I16" s="5">
        <x:f>INDEX('Harness V2'!$AF$5:$AF$364,MATCH(B16,'Harness V2'!$A$5:$A$364,0))</x:f>
        <x:v>81</x:v>
      </x:c>
      <x:c r="J16" s="5" t="str">
        <x:f>INDEX('Harness V2'!$AG$5:$AG$364,MATCH(B16,'Harness V2'!$A$5:$A$364,0))</x:f>
        <x:v>Batch 1</x:v>
      </x:c>
    </x:row>
    <x:row r="17">
      <x:c r="A17" s="5" t="n">
        <x:v>14</x:v>
      </x:c>
      <x:c r="B17" s="5" t="inlineStr">
        <x:is>
          <x:t xml:space="preserve">GPO-LEA-02</x:t>
        </x:is>
      </x:c>
      <x:c r="C17" s="5" t="inlineStr">
        <x:is>
          <x:t xml:space="preserve">Learning &amp; Tutoring</x:t>
        </x:is>
      </x:c>
      <x:c r="D17" s="5" t="inlineStr">
        <x:is>
          <x:t xml:space="preserve">Core 150</x:t>
        </x:is>
      </x:c>
      <x:c r="E17" s="5" t="inlineStr">
        <x:is>
          <x:t xml:space="preserve">Explain this concept I’m stuck on as if you were my private tutor.</x:t>
        </x:is>
      </x:c>
      <x:c r="F17" s="5" t="n">
        <x:v>76</x:v>
      </x:c>
      <x:c r="G17" s="5" t="n">
        <x:v>89</x:v>
      </x:c>
      <x:c r="H17" s="5" t="inlineStr">
        <x:is>
          <x:t xml:space="preserve">Easy</x:t>
        </x:is>
      </x:c>
      <x:c r="I17" s="5">
        <x:f>INDEX('Harness V2'!$AF$5:$AF$364,MATCH(B17,'Harness V2'!$A$5:$A$364,0))</x:f>
        <x:v>79</x:v>
      </x:c>
      <x:c r="J17" s="5" t="str">
        <x:f>INDEX('Harness V2'!$AG$5:$AG$364,MATCH(B17,'Harness V2'!$A$5:$A$364,0))</x:f>
        <x:v>Batch 2</x:v>
      </x:c>
    </x:row>
    <x:row r="18">
      <x:c r="A18" s="5" t="n">
        <x:v>15</x:v>
      </x:c>
      <x:c r="B18" s="5" t="inlineStr">
        <x:is>
          <x:t xml:space="preserve">GPO-COD-06</x:t>
        </x:is>
      </x:c>
      <x:c r="C18" s="5" t="inlineStr">
        <x:is>
          <x:t xml:space="preserve">Code &amp; Product Engineering</x:t>
        </x:is>
      </x:c>
      <x:c r="D18" s="5" t="inlineStr">
        <x:is>
          <x:t xml:space="preserve">Core 150</x:t>
        </x:is>
      </x:c>
      <x:c r="E18" s="5" t="inlineStr">
        <x:is>
          <x:t xml:space="preserve">Review this PR/repo and identify security, scalability, and reliability risks before ship.</x:t>
        </x:is>
      </x:c>
      <x:c r="F18" s="5" t="n">
        <x:v>76</x:v>
      </x:c>
      <x:c r="G18" s="5" t="n">
        <x:v>88</x:v>
      </x:c>
      <x:c r="H18" s="5" t="inlineStr">
        <x:is>
          <x:t xml:space="preserve">Easy</x:t>
        </x:is>
      </x:c>
      <x:c r="I18" s="5">
        <x:f>INDEX('Harness V2'!$AF$5:$AF$364,MATCH(B18,'Harness V2'!$A$5:$A$364,0))</x:f>
        <x:v>79</x:v>
      </x:c>
      <x:c r="J18" s="5" t="str">
        <x:f>INDEX('Harness V2'!$AG$5:$AG$364,MATCH(B18,'Harness V2'!$A$5:$A$364,0))</x:f>
        <x:v>Batch 2</x:v>
      </x:c>
    </x:row>
    <x:row r="19">
      <x:c r="A19" s="5" t="n">
        <x:v>16</x:v>
      </x:c>
      <x:c r="B19" s="5" t="inlineStr">
        <x:is>
          <x:t xml:space="preserve">GPO-RES-03</x:t>
        </x:is>
      </x:c>
      <x:c r="C19" s="5" t="inlineStr">
        <x:is>
          <x:t xml:space="preserve">Research &amp; Analysis</x:t>
        </x:is>
      </x:c>
      <x:c r="D19" s="5" t="inlineStr">
        <x:is>
          <x:t xml:space="preserve">Core 150</x:t>
        </x:is>
      </x:c>
      <x:c r="E19" s="5" t="inlineStr">
        <x:is>
          <x:t xml:space="preserve">Give me a deep-dive on {topic} with the latest evidence, not surface-level fluff.</x:t>
        </x:is>
      </x:c>
      <x:c r="F19" s="5" t="n">
        <x:v>77</x:v>
      </x:c>
      <x:c r="G19" s="5" t="n">
        <x:v>86</x:v>
      </x:c>
      <x:c r="H19" s="5" t="inlineStr">
        <x:is>
          <x:t xml:space="preserve">Easy</x:t>
        </x:is>
      </x:c>
      <x:c r="I19" s="5">
        <x:f>INDEX('Harness V2'!$AF$5:$AF$364,MATCH(B19,'Harness V2'!$A$5:$A$364,0))</x:f>
        <x:v>77</x:v>
      </x:c>
      <x:c r="J19" s="5" t="str">
        <x:f>INDEX('Harness V2'!$AG$5:$AG$364,MATCH(B19,'Harness V2'!$A$5:$A$364,0))</x:f>
        <x:v>Batch 2</x:v>
      </x:c>
    </x:row>
    <x:row r="20">
      <x:c r="A20" s="5" t="n">
        <x:v>17</x:v>
      </x:c>
      <x:c r="B20" s="5" t="inlineStr">
        <x:is>
          <x:t xml:space="preserve">GPO-WRI-06</x:t>
        </x:is>
      </x:c>
      <x:c r="C20" s="5" t="inlineStr">
        <x:is>
          <x:t xml:space="preserve">Writing &amp; Documentation</x:t>
        </x:is>
      </x:c>
      <x:c r="D20" s="5" t="inlineStr">
        <x:is>
          <x:t xml:space="preserve">Core 150</x:t>
        </x:is>
      </x:c>
      <x:c r="E20" s="5" t="inlineStr">
        <x:is>
          <x:t xml:space="preserve">Create board-level documentation for this project with goals, metrics, and open issues.</x:t>
        </x:is>
      </x:c>
      <x:c r="F20" s="5" t="n">
        <x:v>74</x:v>
      </x:c>
      <x:c r="G20" s="5" t="n">
        <x:v>90</x:v>
      </x:c>
      <x:c r="H20" s="5" t="inlineStr">
        <x:is>
          <x:t xml:space="preserve">Easy</x:t>
        </x:is>
      </x:c>
      <x:c r="I20" s="5">
        <x:f>INDEX('Harness V2'!$AF$5:$AF$364,MATCH(B20,'Harness V2'!$A$5:$A$364,0))</x:f>
        <x:v>80</x:v>
      </x:c>
      <x:c r="J20" s="5" t="str">
        <x:f>INDEX('Harness V2'!$AG$5:$AG$364,MATCH(B20,'Harness V2'!$A$5:$A$364,0))</x:f>
        <x:v>Batch 1</x:v>
      </x:c>
    </x:row>
    <x:row r="21">
      <x:c r="A21" s="5" t="n">
        <x:v>18</x:v>
      </x:c>
      <x:c r="B21" s="5" t="inlineStr">
        <x:is>
          <x:t xml:space="preserve">GPO-LEA-03</x:t>
        </x:is>
      </x:c>
      <x:c r="C21" s="5" t="inlineStr">
        <x:is>
          <x:t xml:space="preserve">Learning &amp; Tutoring</x:t>
        </x:is>
      </x:c>
      <x:c r="D21" s="5" t="inlineStr">
        <x:is>
          <x:t xml:space="preserve">Core 150</x:t>
        </x:is>
      </x:c>
      <x:c r="E21" s="5" t="inlineStr">
        <x:is>
          <x:t xml:space="preserve">Quiz me on {topic} adaptively until I actually master it.</x:t>
        </x:is>
      </x:c>
      <x:c r="F21" s="5" t="n">
        <x:v>75</x:v>
      </x:c>
      <x:c r="G21" s="5" t="n">
        <x:v>88</x:v>
      </x:c>
      <x:c r="H21" s="5" t="inlineStr">
        <x:is>
          <x:t xml:space="preserve">Easy</x:t>
        </x:is>
      </x:c>
      <x:c r="I21" s="5">
        <x:f>INDEX('Harness V2'!$AF$5:$AF$364,MATCH(B21,'Harness V2'!$A$5:$A$364,0))</x:f>
        <x:v>79</x:v>
      </x:c>
      <x:c r="J21" s="5" t="str">
        <x:f>INDEX('Harness V2'!$AG$5:$AG$364,MATCH(B21,'Harness V2'!$A$5:$A$364,0))</x:f>
        <x:v>Batch 2</x:v>
      </x:c>
    </x:row>
    <x:row r="22">
      <x:c r="A22" s="5" t="n">
        <x:v>19</x:v>
      </x:c>
      <x:c r="B22" s="5" t="inlineStr">
        <x:is>
          <x:t xml:space="preserve">GPO-SCH-01</x:t>
        </x:is>
      </x:c>
      <x:c r="C22" s="5" t="inlineStr">
        <x:is>
          <x:t xml:space="preserve">Scheduling &amp; Life Operations</x:t>
        </x:is>
      </x:c>
      <x:c r="D22" s="5" t="inlineStr">
        <x:is>
          <x:t xml:space="preserve">Core 150</x:t>
        </x:is>
      </x:c>
      <x:c r="E22" s="5" t="inlineStr">
        <x:is>
          <x:t xml:space="preserve">Plan my week so I can hit my main goal without burning out.</x:t>
        </x:is>
      </x:c>
      <x:c r="F22" s="5" t="n">
        <x:v>76</x:v>
      </x:c>
      <x:c r="G22" s="5" t="n">
        <x:v>86</x:v>
      </x:c>
      <x:c r="H22" s="5" t="inlineStr">
        <x:is>
          <x:t xml:space="preserve">Easy</x:t>
        </x:is>
      </x:c>
      <x:c r="I22" s="5">
        <x:f>INDEX('Harness V2'!$AF$5:$AF$364,MATCH(B22,'Harness V2'!$A$5:$A$364,0))</x:f>
        <x:v>78</x:v>
      </x:c>
      <x:c r="J22" s="5" t="str">
        <x:f>INDEX('Harness V2'!$AG$5:$AG$364,MATCH(B22,'Harness V2'!$A$5:$A$364,0))</x:f>
        <x:v>Batch 2</x:v>
      </x:c>
    </x:row>
    <x:row r="23">
      <x:c r="A23" s="5" t="n">
        <x:v>20</x:v>
      </x:c>
      <x:c r="B23" s="5" t="inlineStr">
        <x:is>
          <x:t xml:space="preserve">GPO-RES-04</x:t>
        </x:is>
      </x:c>
      <x:c r="C23" s="5" t="inlineStr">
        <x:is>
          <x:t xml:space="preserve">Research &amp; Analysis</x:t>
        </x:is>
      </x:c>
      <x:c r="D23" s="5" t="inlineStr">
        <x:is>
          <x:t xml:space="preserve">Core 150</x:t>
        </x:is>
      </x:c>
      <x:c r="E23" s="5" t="inlineStr">
        <x:is>
          <x:t xml:space="preserve">Analyze this business/model/strategy and tell me where the weak assumptions are.</x:t>
        </x:is>
      </x:c>
      <x:c r="F23" s="5" t="n">
        <x:v>75</x:v>
      </x:c>
      <x:c r="G23" s="5" t="n">
        <x:v>86</x:v>
      </x:c>
      <x:c r="H23" s="5" t="inlineStr">
        <x:is>
          <x:t xml:space="preserve">Easy</x:t>
        </x:is>
      </x:c>
      <x:c r="I23" s="5">
        <x:f>INDEX('Harness V2'!$AF$5:$AF$364,MATCH(B23,'Harness V2'!$A$5:$A$364,0))</x:f>
        <x:v>77</x:v>
      </x:c>
      <x:c r="J23" s="5" t="str">
        <x:f>INDEX('Harness V2'!$AG$5:$AG$364,MATCH(B23,'Harness V2'!$A$5:$A$364,0))</x:f>
        <x:v>Batch 2</x:v>
      </x:c>
    </x:row>
    <x:row r="24">
      <x:c r="A24" s="5" t="n">
        <x:v>21</x:v>
      </x:c>
      <x:c r="B24" s="5" t="inlineStr">
        <x:is>
          <x:t xml:space="preserve">GPO-COD-07</x:t>
        </x:is>
      </x:c>
      <x:c r="C24" s="5" t="inlineStr">
        <x:is>
          <x:t xml:space="preserve">Code &amp; Product Engineering</x:t>
        </x:is>
      </x:c>
      <x:c r="D24" s="5" t="inlineStr">
        <x:is>
          <x:t xml:space="preserve">Core 150</x:t>
        </x:is>
      </x:c>
      <x:c r="E24" s="5" t="inlineStr">
        <x:is>
          <x:t xml:space="preserve">Create a working MVP for {idea} from prompt to deployable app.</x:t>
        </x:is>
      </x:c>
      <x:c r="F24" s="5" t="n">
        <x:v>74</x:v>
      </x:c>
      <x:c r="G24" s="5" t="n">
        <x:v>87</x:v>
      </x:c>
      <x:c r="H24" s="5" t="inlineStr">
        <x:is>
          <x:t xml:space="preserve">Easy</x:t>
        </x:is>
      </x:c>
      <x:c r="I24" s="5">
        <x:f>INDEX('Harness V2'!$AF$5:$AF$364,MATCH(B24,'Harness V2'!$A$5:$A$364,0))</x:f>
        <x:v>77</x:v>
      </x:c>
      <x:c r="J24" s="5" t="str">
        <x:f>INDEX('Harness V2'!$AG$5:$AG$364,MATCH(B24,'Harness V2'!$A$5:$A$364,0))</x:f>
        <x:v>Batch 2</x:v>
      </x:c>
    </x:row>
    <x:row r="25">
      <x:c r="A25" s="5" t="n">
        <x:v>22</x:v>
      </x:c>
      <x:c r="B25" s="5" t="inlineStr">
        <x:is>
          <x:t xml:space="preserve">GPO-LEA-04</x:t>
        </x:is>
      </x:c>
      <x:c r="C25" s="5" t="inlineStr">
        <x:is>
          <x:t xml:space="preserve">Learning &amp; Tutoring</x:t>
        </x:is>
      </x:c>
      <x:c r="D25" s="5" t="inlineStr">
        <x:is>
          <x:t xml:space="preserve">Core 150</x:t>
        </x:is>
      </x:c>
      <x:c r="E25" s="5" t="inlineStr">
        <x:is>
          <x:t xml:space="preserve">Create a 30-day learning roadmap for the skill with daily practice.</x:t>
        </x:is>
      </x:c>
      <x:c r="F25" s="5" t="n">
        <x:v>73</x:v>
      </x:c>
      <x:c r="G25" s="5" t="n">
        <x:v>88</x:v>
      </x:c>
      <x:c r="H25" s="5" t="inlineStr">
        <x:is>
          <x:t xml:space="preserve">Easy</x:t>
        </x:is>
      </x:c>
      <x:c r="I25" s="5">
        <x:f>INDEX('Harness V2'!$AF$5:$AF$364,MATCH(B25,'Harness V2'!$A$5:$A$364,0))</x:f>
        <x:v>78</x:v>
      </x:c>
      <x:c r="J25" s="5" t="str">
        <x:f>INDEX('Harness V2'!$AG$5:$AG$364,MATCH(B25,'Harness V2'!$A$5:$A$364,0))</x:f>
        <x:v>Batch 2</x:v>
      </x:c>
    </x:row>
    <x:row r="26">
      <x:c r="A26" s="5" t="n">
        <x:v>23</x:v>
      </x:c>
      <x:c r="B26" s="5" t="inlineStr">
        <x:is>
          <x:t xml:space="preserve">GPO-WRI-07</x:t>
        </x:is>
      </x:c>
      <x:c r="C26" s="5" t="inlineStr">
        <x:is>
          <x:t xml:space="preserve">Writing &amp; Documentation</x:t>
        </x:is>
      </x:c>
      <x:c r="D26" s="5" t="inlineStr">
        <x:is>
          <x:t xml:space="preserve">Core 150</x:t>
        </x:is>
      </x:c>
      <x:c r="E26" s="5" t="inlineStr">
        <x:is>
          <x:t xml:space="preserve">Transform these notes into a client-ready proposal with clean structure and pricing logic.</x:t>
        </x:is>
      </x:c>
      <x:c r="F26" s="5" t="n">
        <x:v>72</x:v>
      </x:c>
      <x:c r="G26" s="5" t="n">
        <x:v>89</x:v>
      </x:c>
      <x:c r="H26" s="5" t="inlineStr">
        <x:is>
          <x:t xml:space="preserve">Easy</x:t>
        </x:is>
      </x:c>
      <x:c r="I26" s="5">
        <x:f>INDEX('Harness V2'!$AF$5:$AF$364,MATCH(B26,'Harness V2'!$A$5:$A$364,0))</x:f>
        <x:v>79</x:v>
      </x:c>
      <x:c r="J26" s="5" t="str">
        <x:f>INDEX('Harness V2'!$AG$5:$AG$364,MATCH(B26,'Harness V2'!$A$5:$A$364,0))</x:f>
        <x:v>Batch 2</x:v>
      </x:c>
    </x:row>
    <x:row r="27">
      <x:c r="A27" s="5" t="n">
        <x:v>24</x:v>
      </x:c>
      <x:c r="B27" s="5" t="inlineStr">
        <x:is>
          <x:t xml:space="preserve">GPO-RES-05</x:t>
        </x:is>
      </x:c>
      <x:c r="C27" s="5" t="inlineStr">
        <x:is>
          <x:t xml:space="preserve">Research &amp; Analysis</x:t>
        </x:is>
      </x:c>
      <x:c r="D27" s="5" t="inlineStr">
        <x:is>
          <x:t xml:space="preserve">Core 150</x:t>
        </x:is>
      </x:c>
      <x:c r="E27" s="5" t="inlineStr">
        <x:is>
          <x:t xml:space="preserve">Find the best tools/vendors for my use case and rank them by fit, not hype.</x:t>
        </x:is>
      </x:c>
      <x:c r="F27" s="5" t="n">
        <x:v>74</x:v>
      </x:c>
      <x:c r="G27" s="5" t="n">
        <x:v>85</x:v>
      </x:c>
      <x:c r="H27" s="5" t="inlineStr">
        <x:is>
          <x:t xml:space="preserve">Easy</x:t>
        </x:is>
      </x:c>
      <x:c r="I27" s="5">
        <x:f>INDEX('Harness V2'!$AF$5:$AF$364,MATCH(B27,'Harness V2'!$A$5:$A$364,0))</x:f>
        <x:v>76</x:v>
      </x:c>
      <x:c r="J27" s="5" t="str">
        <x:f>INDEX('Harness V2'!$AG$5:$AG$364,MATCH(B27,'Harness V2'!$A$5:$A$364,0))</x:f>
        <x:v>Batch 2</x:v>
      </x:c>
    </x:row>
    <x:row r="28">
      <x:c r="A28" s="5" t="n">
        <x:v>25</x:v>
      </x:c>
      <x:c r="B28" s="5" t="inlineStr">
        <x:is>
          <x:t xml:space="preserve">GPO-SCH-02</x:t>
        </x:is>
      </x:c>
      <x:c r="C28" s="5" t="inlineStr">
        <x:is>
          <x:t xml:space="preserve">Scheduling &amp; Life Operations</x:t>
        </x:is>
      </x:c>
      <x:c r="D28" s="5" t="inlineStr">
        <x:is>
          <x:t xml:space="preserve">Core 150</x:t>
        </x:is>
      </x:c>
      <x:c r="E28" s="5" t="inlineStr">
        <x:is>
          <x:t xml:space="preserve">Turn this chaotic task list into a realistic priority system and schedule.</x:t>
        </x:is>
      </x:c>
      <x:c r="F28" s="5" t="n">
        <x:v>74</x:v>
      </x:c>
      <x:c r="G28" s="5" t="n">
        <x:v>85</x:v>
      </x:c>
      <x:c r="H28" s="5" t="inlineStr">
        <x:is>
          <x:t xml:space="preserve">Easy</x:t>
        </x:is>
      </x:c>
      <x:c r="I28" s="5">
        <x:f>INDEX('Harness V2'!$AF$5:$AF$364,MATCH(B28,'Harness V2'!$A$5:$A$364,0))</x:f>
        <x:v>77</x:v>
      </x:c>
      <x:c r="J28" s="5" t="str">
        <x:f>INDEX('Harness V2'!$AG$5:$AG$364,MATCH(B28,'Harness V2'!$A$5:$A$364,0))</x:f>
        <x:v>Batch 2</x:v>
      </x:c>
    </x:row>
    <x:row r="29">
      <x:c r="A29" s="5" t="n">
        <x:v>26</x:v>
      </x:c>
      <x:c r="B29" s="5" t="inlineStr">
        <x:is>
          <x:t xml:space="preserve">GPO-LEA-05</x:t>
        </x:is>
      </x:c>
      <x:c r="C29" s="5" t="inlineStr">
        <x:is>
          <x:t xml:space="preserve">Learning &amp; Tutoring</x:t>
        </x:is>
      </x:c>
      <x:c r="D29" s="5" t="inlineStr">
        <x:is>
          <x:t xml:space="preserve">Core 150</x:t>
        </x:is>
      </x:c>
      <x:c r="E29" s="5" t="inlineStr">
        <x:is>
          <x:t xml:space="preserve">Turn this textbook/article/PDF into notes, flashcards, and exam questions.</x:t>
        </x:is>
      </x:c>
      <x:c r="F29" s="5" t="n">
        <x:v>72</x:v>
      </x:c>
      <x:c r="G29" s="5" t="n">
        <x:v>87</x:v>
      </x:c>
      <x:c r="H29" s="5" t="inlineStr">
        <x:is>
          <x:t xml:space="preserve">Easy</x:t>
        </x:is>
      </x:c>
      <x:c r="I29" s="5">
        <x:f>INDEX('Harness V2'!$AF$5:$AF$364,MATCH(B29,'Harness V2'!$A$5:$A$364,0))</x:f>
        <x:v>77</x:v>
      </x:c>
      <x:c r="J29" s="5" t="str">
        <x:f>INDEX('Harness V2'!$AG$5:$AG$364,MATCH(B29,'Harness V2'!$A$5:$A$364,0))</x:f>
        <x:v>Batch 2</x:v>
      </x:c>
    </x:row>
    <x:row r="30">
      <x:c r="A30" s="5" t="n">
        <x:v>27</x:v>
      </x:c>
      <x:c r="B30" s="5" t="inlineStr">
        <x:is>
          <x:t xml:space="preserve">GPO-WRI-08</x:t>
        </x:is>
      </x:c>
      <x:c r="C30" s="5" t="inlineStr">
        <x:is>
          <x:t xml:space="preserve">Writing &amp; Documentation</x:t>
        </x:is>
      </x:c>
      <x:c r="D30" s="5" t="inlineStr">
        <x:is>
          <x:t xml:space="preserve">Core 150</x:t>
        </x:is>
      </x:c>
      <x:c r="E30" s="5" t="inlineStr">
        <x:is>
          <x:t xml:space="preserve">Draft a decision memo comparing option A vs option B with recommendation.</x:t>
        </x:is>
      </x:c>
      <x:c r="F30" s="5" t="n">
        <x:v>71</x:v>
      </x:c>
      <x:c r="G30" s="5" t="n">
        <x:v>88</x:v>
      </x:c>
      <x:c r="H30" s="5" t="inlineStr">
        <x:is>
          <x:t xml:space="preserve">Easy</x:t>
        </x:is>
      </x:c>
      <x:c r="I30" s="5">
        <x:f>INDEX('Harness V2'!$AF$5:$AF$364,MATCH(B30,'Harness V2'!$A$5:$A$364,0))</x:f>
        <x:v>78</x:v>
      </x:c>
      <x:c r="J30" s="5" t="str">
        <x:f>INDEX('Harness V2'!$AG$5:$AG$364,MATCH(B30,'Harness V2'!$A$5:$A$364,0))</x:f>
        <x:v>Batch 2</x:v>
      </x:c>
    </x:row>
    <x:row r="31">
      <x:c r="A31" s="5" t="n">
        <x:v>28</x:v>
      </x:c>
      <x:c r="B31" s="5" t="inlineStr">
        <x:is>
          <x:t xml:space="preserve">GPO-COD-08</x:t>
        </x:is>
      </x:c>
      <x:c r="C31" s="5" t="inlineStr">
        <x:is>
          <x:t xml:space="preserve">Code &amp; Product Engineering</x:t>
        </x:is>
      </x:c>
      <x:c r="D31" s="5" t="inlineStr">
        <x:is>
          <x:t xml:space="preserve">Core 150</x:t>
        </x:is>
      </x:c>
      <x:c r="E31" s="5" t="inlineStr">
        <x:is>
          <x:t xml:space="preserve">Write the API contract, validation rules, and edge cases for new feature.</x:t>
        </x:is>
      </x:c>
      <x:c r="F31" s="5" t="n">
        <x:v>72</x:v>
      </x:c>
      <x:c r="G31" s="5" t="n">
        <x:v>86</x:v>
      </x:c>
      <x:c r="H31" s="5" t="inlineStr">
        <x:is>
          <x:t xml:space="preserve">Easy</x:t>
        </x:is>
      </x:c>
      <x:c r="I31" s="5">
        <x:f>INDEX('Harness V2'!$AF$5:$AF$364,MATCH(B31,'Harness V2'!$A$5:$A$364,0))</x:f>
        <x:v>76</x:v>
      </x:c>
      <x:c r="J31" s="5" t="str">
        <x:f>INDEX('Harness V2'!$AG$5:$AG$364,MATCH(B31,'Harness V2'!$A$5:$A$364,0))</x:f>
        <x:v>Batch 2</x:v>
      </x:c>
    </x:row>
    <x:row r="32">
      <x:c r="A32" s="5" t="n">
        <x:v>29</x:v>
      </x:c>
      <x:c r="B32" s="5" t="inlineStr">
        <x:is>
          <x:t xml:space="preserve">GPO-SCH-03</x:t>
        </x:is>
      </x:c>
      <x:c r="C32" s="5" t="inlineStr">
        <x:is>
          <x:t xml:space="preserve">Scheduling &amp; Life Operations</x:t>
        </x:is>
      </x:c>
      <x:c r="D32" s="5" t="inlineStr">
        <x:is>
          <x:t xml:space="preserve">Core 150</x:t>
        </x:is>
      </x:c>
      <x:c r="E32" s="5" t="inlineStr">
        <x:is>
          <x:t xml:space="preserve">Design a daily operating system for my work, health, and personal life.</x:t>
        </x:is>
      </x:c>
      <x:c r="F32" s="5" t="n">
        <x:v>73</x:v>
      </x:c>
      <x:c r="G32" s="5" t="n">
        <x:v>84</x:v>
      </x:c>
      <x:c r="H32" s="5" t="inlineStr">
        <x:is>
          <x:t xml:space="preserve">Easy</x:t>
        </x:is>
      </x:c>
      <x:c r="I32" s="5">
        <x:f>INDEX('Harness V2'!$AF$5:$AF$364,MATCH(B32,'Harness V2'!$A$5:$A$364,0))</x:f>
        <x:v>76</x:v>
      </x:c>
      <x:c r="J32" s="5" t="str">
        <x:f>INDEX('Harness V2'!$AG$5:$AG$364,MATCH(B32,'Harness V2'!$A$5:$A$364,0))</x:f>
        <x:v>Batch 2</x:v>
      </x:c>
    </x:row>
    <x:row r="33">
      <x:c r="A33" s="5" t="n">
        <x:v>30</x:v>
      </x:c>
      <x:c r="B33" s="5" t="inlineStr">
        <x:is>
          <x:t xml:space="preserve">GPO-SHO-01</x:t>
        </x:is>
      </x:c>
      <x:c r="C33" s="5" t="inlineStr">
        <x:is>
          <x:t xml:space="preserve">Shopping &amp; Buying Advisor</x:t>
        </x:is>
      </x:c>
      <x:c r="D33" s="5" t="inlineStr">
        <x:is>
          <x:t xml:space="preserve">Core 150</x:t>
        </x:is>
      </x:c>
      <x:c r="E33" s="5" t="inlineStr">
        <x:is>
          <x:t xml:space="preserve">Recommend the best product for my budget, priorities, and taste.</x:t>
        </x:is>
      </x:c>
      <x:c r="F33" s="5" t="n">
        <x:v>72</x:v>
      </x:c>
      <x:c r="G33" s="5" t="n">
        <x:v>85</x:v>
      </x:c>
      <x:c r="H33" s="5" t="inlineStr">
        <x:is>
          <x:t xml:space="preserve">Easy</x:t>
        </x:is>
      </x:c>
      <x:c r="I33" s="5">
        <x:f>INDEX('Harness V2'!$AF$5:$AF$364,MATCH(B33,'Harness V2'!$A$5:$A$364,0))</x:f>
        <x:v>75</x:v>
      </x:c>
      <x:c r="J33" s="5" t="str">
        <x:f>INDEX('Harness V2'!$AG$5:$AG$364,MATCH(B33,'Harness V2'!$A$5:$A$364,0))</x:f>
        <x:v>Batch 2</x:v>
      </x:c>
    </x:row>
    <x:row r="34">
      <x:c r="A34" s="5" t="n">
        <x:v>31</x:v>
      </x:c>
      <x:c r="B34" s="5" t="inlineStr">
        <x:is>
          <x:t xml:space="preserve">GPO-COD-09</x:t>
        </x:is>
      </x:c>
      <x:c r="C34" s="5" t="inlineStr">
        <x:is>
          <x:t xml:space="preserve">Code &amp; Product Engineering</x:t>
        </x:is>
      </x:c>
      <x:c r="D34" s="5" t="inlineStr">
        <x:is>
          <x:t xml:space="preserve">Core 150</x:t>
        </x:is>
      </x:c>
      <x:c r="E34" s="5" t="inlineStr">
        <x:is>
          <x:t xml:space="preserve">Set up CI/CD, environments, secrets, and release gates for this project.</x:t>
        </x:is>
      </x:c>
      <x:c r="F34" s="5" t="n">
        <x:v>71</x:v>
      </x:c>
      <x:c r="G34" s="5" t="n">
        <x:v>86</x:v>
      </x:c>
      <x:c r="H34" s="5" t="inlineStr">
        <x:is>
          <x:t xml:space="preserve">Easy</x:t>
        </x:is>
      </x:c>
      <x:c r="I34" s="5">
        <x:f>INDEX('Harness V2'!$AF$5:$AF$364,MATCH(B34,'Harness V2'!$A$5:$A$364,0))</x:f>
        <x:v>76</x:v>
      </x:c>
      <x:c r="J34" s="5" t="str">
        <x:f>INDEX('Harness V2'!$AG$5:$AG$364,MATCH(B34,'Harness V2'!$A$5:$A$364,0))</x:f>
        <x:v>Batch 2</x:v>
      </x:c>
    </x:row>
    <x:row r="35">
      <x:c r="A35" s="5" t="n">
        <x:v>32</x:v>
      </x:c>
      <x:c r="B35" s="5" t="inlineStr">
        <x:is>
          <x:t xml:space="preserve">GPO-RES-06</x:t>
        </x:is>
      </x:c>
      <x:c r="C35" s="5" t="inlineStr">
        <x:is>
          <x:t xml:space="preserve">Research &amp; Analysis</x:t>
        </x:is>
      </x:c>
      <x:c r="D35" s="5" t="inlineStr">
        <x:is>
          <x:t xml:space="preserve">Core 150</x:t>
        </x:is>
      </x:c>
      <x:c r="E35" s="5" t="inlineStr">
        <x:is>
          <x:t xml:space="preserve">Explain the topic from first principles, then make it practical for me.</x:t>
        </x:is>
      </x:c>
      <x:c r="F35" s="5" t="n">
        <x:v>72</x:v>
      </x:c>
      <x:c r="G35" s="5" t="n">
        <x:v>84</x:v>
      </x:c>
      <x:c r="H35" s="5" t="inlineStr">
        <x:is>
          <x:t xml:space="preserve">Easy</x:t>
        </x:is>
      </x:c>
      <x:c r="I35" s="5">
        <x:f>INDEX('Harness V2'!$AF$5:$AF$364,MATCH(B35,'Harness V2'!$A$5:$A$364,0))</x:f>
        <x:v>75</x:v>
      </x:c>
      <x:c r="J35" s="5" t="str">
        <x:f>INDEX('Harness V2'!$AG$5:$AG$364,MATCH(B35,'Harness V2'!$A$5:$A$364,0))</x:f>
        <x:v>Batch 2</x:v>
      </x:c>
    </x:row>
    <x:row r="36">
      <x:c r="A36" s="5" t="n">
        <x:v>33</x:v>
      </x:c>
      <x:c r="B36" s="5" t="inlineStr">
        <x:is>
          <x:t xml:space="preserve">GPO-WRI-09</x:t>
        </x:is>
      </x:c>
      <x:c r="C36" s="5" t="inlineStr">
        <x:is>
          <x:t xml:space="preserve">Writing &amp; Documentation</x:t>
        </x:is>
      </x:c>
      <x:c r="D36" s="5" t="inlineStr">
        <x:is>
          <x:t xml:space="preserve">Core 150</x:t>
        </x:is>
      </x:c>
      <x:c r="E36" s="5" t="inlineStr">
        <x:is>
          <x:t xml:space="preserve">Turn this messy meeting transcript into action items, owners, and deadlines.</x:t>
        </x:is>
      </x:c>
      <x:c r="F36" s="5" t="n">
        <x:v>69</x:v>
      </x:c>
      <x:c r="G36" s="5" t="n">
        <x:v>88</x:v>
      </x:c>
      <x:c r="H36" s="5" t="inlineStr">
        <x:is>
          <x:t xml:space="preserve">Easy</x:t>
        </x:is>
      </x:c>
      <x:c r="I36" s="5">
        <x:f>INDEX('Harness V2'!$AF$5:$AF$364,MATCH(B36,'Harness V2'!$A$5:$A$364,0))</x:f>
        <x:v>77</x:v>
      </x:c>
      <x:c r="J36" s="5" t="str">
        <x:f>INDEX('Harness V2'!$AG$5:$AG$364,MATCH(B36,'Harness V2'!$A$5:$A$364,0))</x:f>
        <x:v>Batch 2</x:v>
      </x:c>
    </x:row>
    <x:row r="37">
      <x:c r="A37" s="5" t="n">
        <x:v>34</x:v>
      </x:c>
      <x:c r="B37" s="5" t="inlineStr">
        <x:is>
          <x:t xml:space="preserve">GPO-LEA-06</x:t>
        </x:is>
      </x:c>
      <x:c r="C37" s="5" t="inlineStr">
        <x:is>
          <x:t xml:space="preserve">Learning &amp; Tutoring</x:t>
        </x:is>
      </x:c>
      <x:c r="D37" s="5" t="inlineStr">
        <x:is>
          <x:t xml:space="preserve">Core 150</x:t>
        </x:is>
      </x:c>
      <x:c r="E37" s="5" t="inlineStr">
        <x:is>
          <x:t xml:space="preserve">Help me understand why my answer is wrong and how to think correctly next time.</x:t>
        </x:is>
      </x:c>
      <x:c r="F37" s="5" t="n">
        <x:v>70</x:v>
      </x:c>
      <x:c r="G37" s="5" t="n">
        <x:v>86</x:v>
      </x:c>
      <x:c r="H37" s="5" t="inlineStr">
        <x:is>
          <x:t xml:space="preserve">Easy</x:t>
        </x:is>
      </x:c>
      <x:c r="I37" s="5">
        <x:f>INDEX('Harness V2'!$AF$5:$AF$364,MATCH(B37,'Harness V2'!$A$5:$A$364,0))</x:f>
        <x:v>76</x:v>
      </x:c>
      <x:c r="J37" s="5" t="str">
        <x:f>INDEX('Harness V2'!$AG$5:$AG$364,MATCH(B37,'Harness V2'!$A$5:$A$364,0))</x:f>
        <x:v>Batch 2</x:v>
      </x:c>
    </x:row>
    <x:row r="38">
      <x:c r="A38" s="5" t="n">
        <x:v>35</x:v>
      </x:c>
      <x:c r="B38" s="5" t="inlineStr">
        <x:is>
          <x:t xml:space="preserve">GPO-SCH-04</x:t>
        </x:is>
      </x:c>
      <x:c r="C38" s="5" t="inlineStr">
        <x:is>
          <x:t xml:space="preserve">Scheduling &amp; Life Operations</x:t>
        </x:is>
      </x:c>
      <x:c r="D38" s="5" t="inlineStr">
        <x:is>
          <x:t xml:space="preserve">Core 150</x:t>
        </x:is>
      </x:c>
      <x:c r="E38" s="5" t="inlineStr">
        <x:is>
          <x:t xml:space="preserve">Help me decide what to do next right now based on urgency and long-term value.</x:t>
        </x:is>
      </x:c>
      <x:c r="F38" s="5" t="n">
        <x:v>71</x:v>
      </x:c>
      <x:c r="G38" s="5" t="n">
        <x:v>84</x:v>
      </x:c>
      <x:c r="H38" s="5" t="inlineStr">
        <x:is>
          <x:t xml:space="preserve">Easy</x:t>
        </x:is>
      </x:c>
      <x:c r="I38" s="5">
        <x:f>INDEX('Harness V2'!$AF$5:$AF$364,MATCH(B38,'Harness V2'!$A$5:$A$364,0))</x:f>
        <x:v>75</x:v>
      </x:c>
      <x:c r="J38" s="5" t="str">
        <x:f>INDEX('Harness V2'!$AG$5:$AG$364,MATCH(B38,'Harness V2'!$A$5:$A$364,0))</x:f>
        <x:v>Batch 2</x:v>
      </x:c>
    </x:row>
    <x:row r="39">
      <x:c r="A39" s="5" t="n">
        <x:v>36</x:v>
      </x:c>
      <x:c r="B39" s="5" t="inlineStr">
        <x:is>
          <x:t xml:space="preserve">GPO-SHO-02</x:t>
        </x:is>
      </x:c>
      <x:c r="C39" s="5" t="inlineStr">
        <x:is>
          <x:t xml:space="preserve">Shopping &amp; Buying Advisor</x:t>
        </x:is>
      </x:c>
      <x:c r="D39" s="5" t="inlineStr">
        <x:is>
          <x:t xml:space="preserve">Core 150</x:t>
        </x:is>
      </x:c>
      <x:c r="E39" s="5" t="inlineStr">
        <x:is>
          <x:t xml:space="preserve">Compare these these products and tell me which one is actually worth buying.</x:t>
        </x:is>
      </x:c>
      <x:c r="F39" s="5" t="n">
        <x:v>71</x:v>
      </x:c>
      <x:c r="G39" s="5" t="n">
        <x:v>84</x:v>
      </x:c>
      <x:c r="H39" s="5" t="inlineStr">
        <x:is>
          <x:t xml:space="preserve">Easy</x:t>
        </x:is>
      </x:c>
      <x:c r="I39" s="5">
        <x:f>INDEX('Harness V2'!$AF$5:$AF$364,MATCH(B39,'Harness V2'!$A$5:$A$364,0))</x:f>
        <x:v>75</x:v>
      </x:c>
      <x:c r="J39" s="5" t="str">
        <x:f>INDEX('Harness V2'!$AG$5:$AG$364,MATCH(B39,'Harness V2'!$A$5:$A$364,0))</x:f>
        <x:v>Batch 2</x:v>
      </x:c>
    </x:row>
    <x:row r="40">
      <x:c r="A40" s="5" t="n">
        <x:v>37</x:v>
      </x:c>
      <x:c r="B40" s="5" t="inlineStr">
        <x:is>
          <x:t xml:space="preserve">GPO-COD-10</x:t>
        </x:is>
      </x:c>
      <x:c r="C40" s="5" t="inlineStr">
        <x:is>
          <x:t xml:space="preserve">Code &amp; Product Engineering</x:t>
        </x:is>
      </x:c>
      <x:c r="D40" s="5" t="inlineStr">
        <x:is>
          <x:t xml:space="preserve">Core 150</x:t>
        </x:is>
      </x:c>
      <x:c r="E40" s="5" t="inlineStr">
        <x:is>
          <x:t xml:space="preserve">Trace this error from logs to root cause and explain it like an engineer on call.</x:t>
        </x:is>
      </x:c>
      <x:c r="F40" s="5" t="n">
        <x:v>69</x:v>
      </x:c>
      <x:c r="G40" s="5" t="n">
        <x:v>85</x:v>
      </x:c>
      <x:c r="H40" s="5" t="inlineStr">
        <x:is>
          <x:t xml:space="preserve">Easy</x:t>
        </x:is>
      </x:c>
      <x:c r="I40" s="5">
        <x:f>INDEX('Harness V2'!$AF$5:$AF$364,MATCH(B40,'Harness V2'!$A$5:$A$364,0))</x:f>
        <x:v>75</x:v>
      </x:c>
      <x:c r="J40" s="5" t="str">
        <x:f>INDEX('Harness V2'!$AG$5:$AG$364,MATCH(B40,'Harness V2'!$A$5:$A$364,0))</x:f>
        <x:v>Batch 2</x:v>
      </x:c>
    </x:row>
    <x:row r="41">
      <x:c r="A41" s="5" t="n">
        <x:v>38</x:v>
      </x:c>
      <x:c r="B41" s="5" t="inlineStr">
        <x:is>
          <x:t xml:space="preserve">GPO-LEA-07</x:t>
        </x:is>
      </x:c>
      <x:c r="C41" s="5" t="inlineStr">
        <x:is>
          <x:t xml:space="preserve">Learning &amp; Tutoring</x:t>
        </x:is>
      </x:c>
      <x:c r="D41" s="5" t="inlineStr">
        <x:is>
          <x:t xml:space="preserve">Core 150</x:t>
        </x:is>
      </x:c>
      <x:c r="E41" s="5" t="inlineStr">
        <x:is>
          <x:t xml:space="preserve">Design a curriculum for learning the skill using only the highest-value resources.</x:t>
        </x:is>
      </x:c>
      <x:c r="F41" s="5" t="n">
        <x:v>69</x:v>
      </x:c>
      <x:c r="G41" s="5" t="n">
        <x:v>85</x:v>
      </x:c>
      <x:c r="H41" s="5" t="inlineStr">
        <x:is>
          <x:t xml:space="preserve">Easy</x:t>
        </x:is>
      </x:c>
      <x:c r="I41" s="5">
        <x:f>INDEX('Harness V2'!$AF$5:$AF$364,MATCH(B41,'Harness V2'!$A$5:$A$364,0))</x:f>
        <x:v>75</x:v>
      </x:c>
      <x:c r="J41" s="5" t="str">
        <x:f>INDEX('Harness V2'!$AG$5:$AG$364,MATCH(B41,'Harness V2'!$A$5:$A$364,0))</x:f>
        <x:v>Batch 2</x:v>
      </x:c>
    </x:row>
    <x:row r="42">
      <x:c r="A42" s="5" t="n">
        <x:v>39</x:v>
      </x:c>
      <x:c r="B42" s="5" t="inlineStr">
        <x:is>
          <x:t xml:space="preserve">GPO-RES-07</x:t>
        </x:is>
      </x:c>
      <x:c r="C42" s="5" t="inlineStr">
        <x:is>
          <x:t xml:space="preserve">Research &amp; Analysis</x:t>
        </x:is>
      </x:c>
      <x:c r="D42" s="5" t="inlineStr">
        <x:is>
          <x:t xml:space="preserve">Core 150</x:t>
        </x:is>
      </x:c>
      <x:c r="E42" s="5" t="inlineStr">
        <x:is>
          <x:t xml:space="preserve">Create a due-diligence brief on the company including red flags.</x:t>
        </x:is>
      </x:c>
      <x:c r="F42" s="5" t="n">
        <x:v>70</x:v>
      </x:c>
      <x:c r="G42" s="5" t="n">
        <x:v>83</x:v>
      </x:c>
      <x:c r="H42" s="5" t="inlineStr">
        <x:is>
          <x:t xml:space="preserve">Easy</x:t>
        </x:is>
      </x:c>
      <x:c r="I42" s="5">
        <x:f>INDEX('Harness V2'!$AF$5:$AF$364,MATCH(B42,'Harness V2'!$A$5:$A$364,0))</x:f>
        <x:v>73</x:v>
      </x:c>
      <x:c r="J42" s="5" t="str">
        <x:f>INDEX('Harness V2'!$AG$5:$AG$364,MATCH(B42,'Harness V2'!$A$5:$A$364,0))</x:f>
        <x:v>Batch 2</x:v>
      </x:c>
    </x:row>
    <x:row r="43">
      <x:c r="A43" s="5" t="n">
        <x:v>40</x:v>
      </x:c>
      <x:c r="B43" s="5" t="inlineStr">
        <x:is>
          <x:t xml:space="preserve">GPO-SCH-05</x:t>
        </x:is>
      </x:c>
      <x:c r="C43" s="5" t="inlineStr">
        <x:is>
          <x:t xml:space="preserve">Scheduling &amp; Life Operations</x:t>
        </x:is>
      </x:c>
      <x:c r="D43" s="5" t="inlineStr">
        <x:is>
          <x:t xml:space="preserve">Core 150</x:t>
        </x:is>
      </x:c>
      <x:c r="E43" s="5" t="inlineStr">
        <x:is>
          <x:t xml:space="preserve">Create a trip/day/event itinerary that balances efficiency, energy, and enjoyment.</x:t>
        </x:is>
      </x:c>
      <x:c r="F43" s="5" t="n">
        <x:v>70</x:v>
      </x:c>
      <x:c r="G43" s="5" t="n">
        <x:v>83</x:v>
      </x:c>
      <x:c r="H43" s="5" t="inlineStr">
        <x:is>
          <x:t xml:space="preserve">Easy</x:t>
        </x:is>
      </x:c>
      <x:c r="I43" s="5">
        <x:f>INDEX('Harness V2'!$AF$5:$AF$364,MATCH(B43,'Harness V2'!$A$5:$A$364,0))</x:f>
        <x:v>74</x:v>
      </x:c>
      <x:c r="J43" s="5" t="str">
        <x:f>INDEX('Harness V2'!$AG$5:$AG$364,MATCH(B43,'Harness V2'!$A$5:$A$364,0))</x:f>
        <x:v>Batch 2</x:v>
      </x:c>
    </x:row>
    <x:row r="44">
      <x:c r="A44" s="5" t="n">
        <x:v>41</x:v>
      </x:c>
      <x:c r="B44" s="5" t="inlineStr">
        <x:is>
          <x:t xml:space="preserve">GPO-TRA-01</x:t>
        </x:is>
      </x:c>
      <x:c r="C44" s="5" t="inlineStr">
        <x:is>
          <x:t xml:space="preserve">Travel &amp; Relocation Planner</x:t>
        </x:is>
      </x:c>
      <x:c r="D44" s="5" t="inlineStr">
        <x:is>
          <x:t xml:space="preserve">Core 150</x:t>
        </x:is>
      </x:c>
      <x:c r="E44" s="5" t="inlineStr">
        <x:is>
          <x:t xml:space="preserve">Plan a complete trip to this destination based on my budget, vibe, and constraints.</x:t>
        </x:is>
      </x:c>
      <x:c r="F44" s="5" t="n">
        <x:v>70</x:v>
      </x:c>
      <x:c r="G44" s="5" t="n">
        <x:v>83</x:v>
      </x:c>
      <x:c r="H44" s="5" t="inlineStr">
        <x:is>
          <x:t xml:space="preserve">Easy</x:t>
        </x:is>
      </x:c>
      <x:c r="I44" s="5">
        <x:f>INDEX('Harness V2'!$AF$5:$AF$364,MATCH(B44,'Harness V2'!$A$5:$A$364,0))</x:f>
        <x:v>74</x:v>
      </x:c>
      <x:c r="J44" s="5" t="str">
        <x:f>INDEX('Harness V2'!$AG$5:$AG$364,MATCH(B44,'Harness V2'!$A$5:$A$364,0))</x:f>
        <x:v>Batch 2</x:v>
      </x:c>
    </x:row>
    <x:row r="45">
      <x:c r="A45" s="5" t="n">
        <x:v>42</x:v>
      </x:c>
      <x:c r="B45" s="5" t="inlineStr">
        <x:is>
          <x:t xml:space="preserve">GPO-WRI-10</x:t>
        </x:is>
      </x:c>
      <x:c r="C45" s="5" t="inlineStr">
        <x:is>
          <x:t xml:space="preserve">Writing &amp; Documentation</x:t>
        </x:is>
      </x:c>
      <x:c r="D45" s="5" t="inlineStr">
        <x:is>
          <x:t xml:space="preserve">Core 150</x:t>
        </x:is>
      </x:c>
      <x:c r="E45" s="5" t="inlineStr">
        <x:is>
          <x:t xml:space="preserve">Write FAQs for {product_or_feature} based on real user confusion points.</x:t>
        </x:is>
      </x:c>
      <x:c r="F45" s="5" t="n">
        <x:v>67</x:v>
      </x:c>
      <x:c r="G45" s="5" t="n">
        <x:v>87</x:v>
      </x:c>
      <x:c r="H45" s="5" t="inlineStr">
        <x:is>
          <x:t xml:space="preserve">Easy</x:t>
        </x:is>
      </x:c>
      <x:c r="I45" s="5">
        <x:f>INDEX('Harness V2'!$AF$5:$AF$364,MATCH(B45,'Harness V2'!$A$5:$A$364,0))</x:f>
        <x:v>76</x:v>
      </x:c>
      <x:c r="J45" s="5" t="str">
        <x:f>INDEX('Harness V2'!$AG$5:$AG$364,MATCH(B45,'Harness V2'!$A$5:$A$364,0))</x:f>
        <x:v>Batch 2</x:v>
      </x:c>
    </x:row>
    <x:row r="46">
      <x:c r="A46" s="5" t="n">
        <x:v>43</x:v>
      </x:c>
      <x:c r="B46" s="5" t="inlineStr">
        <x:is>
          <x:t xml:space="preserve">GPO-SHO-03</x:t>
        </x:is>
      </x:c>
      <x:c r="C46" s="5" t="inlineStr">
        <x:is>
          <x:t xml:space="preserve">Shopping &amp; Buying Advisor</x:t>
        </x:is>
      </x:c>
      <x:c r="D46" s="5" t="inlineStr">
        <x:is>
          <x:t xml:space="preserve">Core 150</x:t>
        </x:is>
      </x:c>
      <x:c r="E46" s="5" t="inlineStr">
        <x:is>
          <x:t xml:space="preserve">Find the best value option for my need without cheaping out on quality.</x:t>
        </x:is>
      </x:c>
      <x:c r="F46" s="5" t="n">
        <x:v>69</x:v>
      </x:c>
      <x:c r="G46" s="5" t="n">
        <x:v>83</x:v>
      </x:c>
      <x:c r="H46" s="5" t="inlineStr">
        <x:is>
          <x:t xml:space="preserve">Easy</x:t>
        </x:is>
      </x:c>
      <x:c r="I46" s="5">
        <x:f>INDEX('Harness V2'!$AF$5:$AF$364,MATCH(B46,'Harness V2'!$A$5:$A$364,0))</x:f>
        <x:v>73</x:v>
      </x:c>
      <x:c r="J46" s="5" t="str">
        <x:f>INDEX('Harness V2'!$AG$5:$AG$364,MATCH(B46,'Harness V2'!$A$5:$A$364,0))</x:f>
        <x:v>Batch 2</x:v>
      </x:c>
    </x:row>
    <x:row r="47">
      <x:c r="A47" s="5" t="n">
        <x:v>44</x:v>
      </x:c>
      <x:c r="B47" s="5" t="inlineStr">
        <x:is>
          <x:t xml:space="preserve">GPO-RES-08</x:t>
        </x:is>
      </x:c>
      <x:c r="C47" s="5" t="inlineStr">
        <x:is>
          <x:t xml:space="preserve">Research &amp; Analysis</x:t>
        </x:is>
      </x:c>
      <x:c r="D47" s="5" t="inlineStr">
        <x:is>
          <x:t xml:space="preserve">Core 150</x:t>
        </x:is>
      </x:c>
      <x:c r="E47" s="5" t="inlineStr">
        <x:is>
          <x:t xml:space="preserve">Turn this raw dataset/report into insights, risks, and executive takeaways.</x:t>
        </x:is>
      </x:c>
      <x:c r="F47" s="5" t="n">
        <x:v>69</x:v>
      </x:c>
      <x:c r="G47" s="5" t="n">
        <x:v>82</x:v>
      </x:c>
      <x:c r="H47" s="5" t="inlineStr">
        <x:is>
          <x:t xml:space="preserve">Easy</x:t>
        </x:is>
      </x:c>
      <x:c r="I47" s="5">
        <x:f>INDEX('Harness V2'!$AF$5:$AF$364,MATCH(B47,'Harness V2'!$A$5:$A$364,0))</x:f>
        <x:v>73</x:v>
      </x:c>
      <x:c r="J47" s="5" t="str">
        <x:f>INDEX('Harness V2'!$AG$5:$AG$364,MATCH(B47,'Harness V2'!$A$5:$A$364,0))</x:f>
        <x:v>Batch 2</x:v>
      </x:c>
    </x:row>
    <x:row r="48">
      <x:c r="A48" s="5" t="n">
        <x:v>45</x:v>
      </x:c>
      <x:c r="B48" s="5" t="inlineStr">
        <x:is>
          <x:t xml:space="preserve">GPO-TRA-02</x:t>
        </x:is>
      </x:c>
      <x:c r="C48" s="5" t="inlineStr">
        <x:is>
          <x:t xml:space="preserve">Travel &amp; Relocation Planner</x:t>
        </x:is>
      </x:c>
      <x:c r="D48" s="5" t="inlineStr">
        <x:is>
          <x:t xml:space="preserve">Core 150</x:t>
        </x:is>
      </x:c>
      <x:c r="E48" s="5" t="inlineStr">
        <x:is>
          <x:t xml:space="preserve">Build the ideal itinerary for these days in this destination without tourist-trap fluff.</x:t>
        </x:is>
      </x:c>
      <x:c r="F48" s="5" t="n">
        <x:v>69</x:v>
      </x:c>
      <x:c r="G48" s="5" t="n">
        <x:v>82</x:v>
      </x:c>
      <x:c r="H48" s="5" t="inlineStr">
        <x:is>
          <x:t xml:space="preserve">Easy</x:t>
        </x:is>
      </x:c>
      <x:c r="I48" s="5">
        <x:f>INDEX('Harness V2'!$AF$5:$AF$364,MATCH(B48,'Harness V2'!$A$5:$A$364,0))</x:f>
        <x:v>73</x:v>
      </x:c>
      <x:c r="J48" s="5" t="str">
        <x:f>INDEX('Harness V2'!$AG$5:$AG$364,MATCH(B48,'Harness V2'!$A$5:$A$364,0))</x:f>
        <x:v>Batch 2</x:v>
      </x:c>
    </x:row>
    <x:row r="49">
      <x:c r="A49" s="5" t="n">
        <x:v>46</x:v>
      </x:c>
      <x:c r="B49" s="5" t="inlineStr">
        <x:is>
          <x:t xml:space="preserve">GPO-SHO-04</x:t>
        </x:is>
      </x:c>
      <x:c r="C49" s="5" t="inlineStr">
        <x:is>
          <x:t xml:space="preserve">Shopping &amp; Buying Advisor</x:t>
        </x:is>
      </x:c>
      <x:c r="D49" s="5" t="inlineStr">
        <x:is>
          <x:t xml:space="preserve">Core 150</x:t>
        </x:is>
      </x:c>
      <x:c r="E49" s="5" t="inlineStr">
        <x:is>
          <x:t xml:space="preserve">Build a shortlist of products for my use case with tradeoffs and final pick.</x:t>
        </x:is>
      </x:c>
      <x:c r="F49" s="5" t="n">
        <x:v>68</x:v>
      </x:c>
      <x:c r="G49" s="5" t="n">
        <x:v>83</x:v>
      </x:c>
      <x:c r="H49" s="5" t="inlineStr">
        <x:is>
          <x:t xml:space="preserve">Easy</x:t>
        </x:is>
      </x:c>
      <x:c r="I49" s="5">
        <x:f>INDEX('Harness V2'!$AF$5:$AF$364,MATCH(B49,'Harness V2'!$A$5:$A$364,0))</x:f>
        <x:v>73</x:v>
      </x:c>
      <x:c r="J49" s="5" t="str">
        <x:f>INDEX('Harness V2'!$AG$5:$AG$364,MATCH(B49,'Harness V2'!$A$5:$A$364,0))</x:f>
        <x:v>Batch 2</x:v>
      </x:c>
    </x:row>
    <x:row r="50">
      <x:c r="A50" s="5" t="n">
        <x:v>47</x:v>
      </x:c>
      <x:c r="B50" s="5" t="inlineStr">
        <x:is>
          <x:t xml:space="preserve">GPO-WRI-11</x:t>
        </x:is>
      </x:c>
      <x:c r="C50" s="5" t="inlineStr">
        <x:is>
          <x:t xml:space="preserve">Writing &amp; Documentation</x:t>
        </x:is>
      </x:c>
      <x:c r="D50" s="5" t="inlineStr">
        <x:is>
          <x:t xml:space="preserve">Expansion 150</x:t>
        </x:is>
      </x:c>
      <x:c r="E50" s="5" t="inlineStr">
        <x:is>
          <x:t xml:space="preserve">Generate release notes/changelog/customer update for {release}.</x:t>
        </x:is>
      </x:c>
      <x:c r="F50" s="5" t="n">
        <x:v>66</x:v>
      </x:c>
      <x:c r="G50" s="5" t="n">
        <x:v>86</x:v>
      </x:c>
      <x:c r="H50" s="5" t="inlineStr">
        <x:is>
          <x:t xml:space="preserve">Easy</x:t>
        </x:is>
      </x:c>
      <x:c r="I50" s="5">
        <x:f>INDEX('Harness V2'!$AF$5:$AF$364,MATCH(B50,'Harness V2'!$A$5:$A$364,0))</x:f>
        <x:v>75</x:v>
      </x:c>
      <x:c r="J50" s="5" t="str">
        <x:f>INDEX('Harness V2'!$AG$5:$AG$364,MATCH(B50,'Harness V2'!$A$5:$A$364,0))</x:f>
        <x:v>Batch 2</x:v>
      </x:c>
    </x:row>
    <x:row r="51">
      <x:c r="A51" s="5" t="n">
        <x:v>48</x:v>
      </x:c>
      <x:c r="B51" s="5" t="inlineStr">
        <x:is>
          <x:t xml:space="preserve">GPO-COD-11</x:t>
        </x:is>
      </x:c>
      <x:c r="C51" s="5" t="inlineStr">
        <x:is>
          <x:t xml:space="preserve">Code &amp; Product Engineering</x:t>
        </x:is>
      </x:c>
      <x:c r="D51" s="5" t="inlineStr">
        <x:is>
          <x:t xml:space="preserve">Expansion 150</x:t>
        </x:is>
      </x:c>
      <x:c r="E51" s="5" t="inlineStr">
        <x:is>
          <x:t xml:space="preserve">Turn this prototype into a polished responsive web app with accessible UI and clean UX.</x:t>
        </x:is>
      </x:c>
      <x:c r="F51" s="5" t="n">
        <x:v>67</x:v>
      </x:c>
      <x:c r="G51" s="5" t="n">
        <x:v>84</x:v>
      </x:c>
      <x:c r="H51" s="5" t="inlineStr">
        <x:is>
          <x:t xml:space="preserve">Easy</x:t>
        </x:is>
      </x:c>
      <x:c r="I51" s="5">
        <x:f>INDEX('Harness V2'!$AF$5:$AF$364,MATCH(B51,'Harness V2'!$A$5:$A$364,0))</x:f>
        <x:v>74</x:v>
      </x:c>
      <x:c r="J51" s="5" t="str">
        <x:f>INDEX('Harness V2'!$AG$5:$AG$364,MATCH(B51,'Harness V2'!$A$5:$A$364,0))</x:f>
        <x:v>Batch 2</x:v>
      </x:c>
    </x:row>
    <x:row r="52">
      <x:c r="A52" s="5" t="n">
        <x:v>49</x:v>
      </x:c>
      <x:c r="B52" s="5" t="inlineStr">
        <x:is>
          <x:t xml:space="preserve">GPO-LEA-08</x:t>
        </x:is>
      </x:c>
      <x:c r="C52" s="5" t="inlineStr">
        <x:is>
          <x:t xml:space="preserve">Learning &amp; Tutoring</x:t>
        </x:is>
      </x:c>
      <x:c r="D52" s="5" t="inlineStr">
        <x:is>
          <x:t xml:space="preserve">Core 150</x:t>
        </x:is>
      </x:c>
      <x:c r="E52" s="5" t="inlineStr">
        <x:is>
          <x:t xml:space="preserve">Tutor me live through solving this problem type step by step.</x:t>
        </x:is>
      </x:c>
      <x:c r="F52" s="5" t="n">
        <x:v>67</x:v>
      </x:c>
      <x:c r="G52" s="5" t="n">
        <x:v>84</x:v>
      </x:c>
      <x:c r="H52" s="5" t="inlineStr">
        <x:is>
          <x:t xml:space="preserve">Easy</x:t>
        </x:is>
      </x:c>
      <x:c r="I52" s="5">
        <x:f>INDEX('Harness V2'!$AF$5:$AF$364,MATCH(B52,'Harness V2'!$A$5:$A$364,0))</x:f>
        <x:v>74</x:v>
      </x:c>
      <x:c r="J52" s="5" t="str">
        <x:f>INDEX('Harness V2'!$AG$5:$AG$364,MATCH(B52,'Harness V2'!$A$5:$A$364,0))</x:f>
        <x:v>Batch 2</x:v>
      </x:c>
    </x:row>
    <x:row r="53">
      <x:c r="A53" s="5" t="n">
        <x:v>50</x:v>
      </x:c>
      <x:c r="B53" s="5" t="inlineStr">
        <x:is>
          <x:t xml:space="preserve">GPO-SCH-06</x:t>
        </x:is>
      </x:c>
      <x:c r="C53" s="5" t="inlineStr">
        <x:is>
          <x:t xml:space="preserve">Scheduling &amp; Life Operations</x:t>
        </x:is>
      </x:c>
      <x:c r="D53" s="5" t="inlineStr">
        <x:is>
          <x:t xml:space="preserve">Core 150</x:t>
        </x:is>
      </x:c>
      <x:c r="E53" s="5" t="inlineStr">
        <x:is>
          <x:t xml:space="preserve">Organize my projects into missions, milestones, and next actions.</x:t>
        </x:is>
      </x:c>
      <x:c r="F53" s="5" t="n">
        <x:v>68</x:v>
      </x:c>
      <x:c r="G53" s="5" t="n">
        <x:v>82</x:v>
      </x:c>
      <x:c r="H53" s="5" t="inlineStr">
        <x:is>
          <x:t xml:space="preserve">Easy</x:t>
        </x:is>
      </x:c>
      <x:c r="I53" s="5">
        <x:f>INDEX('Harness V2'!$AF$5:$AF$364,MATCH(B53,'Harness V2'!$A$5:$A$364,0))</x:f>
        <x:v>73</x:v>
      </x:c>
      <x:c r="J53" s="5" t="str">
        <x:f>INDEX('Harness V2'!$AG$5:$AG$364,MATCH(B53,'Harness V2'!$A$5:$A$364,0))</x:f>
        <x:v>Batch 2</x:v>
      </x:c>
    </x:row>
    <x:row r="54">
      <x:c r="A54" s="5" t="n">
        <x:v>51</x:v>
      </x:c>
      <x:c r="B54" s="5" t="inlineStr">
        <x:is>
          <x:t xml:space="preserve">GPO-LEA-09</x:t>
        </x:is>
      </x:c>
      <x:c r="C54" s="5" t="inlineStr">
        <x:is>
          <x:t xml:space="preserve">Learning &amp; Tutoring</x:t>
        </x:is>
      </x:c>
      <x:c r="D54" s="5" t="inlineStr">
        <x:is>
          <x:t xml:space="preserve">Core 150</x:t>
        </x:is>
      </x:c>
      <x:c r="E54" s="5" t="inlineStr">
        <x:is>
          <x:t xml:space="preserve">Summarize this lecture/class material into what I really need to remember.</x:t>
        </x:is>
      </x:c>
      <x:c r="F54" s="5" t="n">
        <x:v>66</x:v>
      </x:c>
      <x:c r="G54" s="5" t="n">
        <x:v>84</x:v>
      </x:c>
      <x:c r="H54" s="5" t="inlineStr">
        <x:is>
          <x:t xml:space="preserve">Easy</x:t>
        </x:is>
      </x:c>
      <x:c r="I54" s="5">
        <x:f>INDEX('Harness V2'!$AF$5:$AF$364,MATCH(B54,'Harness V2'!$A$5:$A$364,0))</x:f>
        <x:v>74</x:v>
      </x:c>
      <x:c r="J54" s="5" t="str">
        <x:f>INDEX('Harness V2'!$AG$5:$AG$364,MATCH(B54,'Harness V2'!$A$5:$A$364,0))</x:f>
        <x:v>Batch 2</x:v>
      </x:c>
    </x:row>
    <x:row r="55">
      <x:c r="A55" s="5" t="n">
        <x:v>52</x:v>
      </x:c>
      <x:c r="B55" s="5" t="inlineStr">
        <x:is>
          <x:t xml:space="preserve">GPO-RES-09</x:t>
        </x:is>
      </x:c>
      <x:c r="C55" s="5" t="inlineStr">
        <x:is>
          <x:t xml:space="preserve">Research &amp; Analysis</x:t>
        </x:is>
      </x:c>
      <x:c r="D55" s="5" t="inlineStr">
        <x:is>
          <x:t xml:space="preserve">Core 150</x:t>
        </x:is>
      </x:c>
      <x:c r="E55" s="5" t="inlineStr">
        <x:is>
          <x:t xml:space="preserve">Pressure-test my startup idea using market size, competition, distribution, and moat.</x:t>
        </x:is>
      </x:c>
      <x:c r="F55" s="5" t="n">
        <x:v>67</x:v>
      </x:c>
      <x:c r="G55" s="5" t="n">
        <x:v>82</x:v>
      </x:c>
      <x:c r="H55" s="5" t="inlineStr">
        <x:is>
          <x:t xml:space="preserve">Easy</x:t>
        </x:is>
      </x:c>
      <x:c r="I55" s="5">
        <x:f>INDEX('Harness V2'!$AF$5:$AF$364,MATCH(B55,'Harness V2'!$A$5:$A$364,0))</x:f>
        <x:v>72</x:v>
      </x:c>
      <x:c r="J55" s="5" t="str">
        <x:f>INDEX('Harness V2'!$AG$5:$AG$364,MATCH(B55,'Harness V2'!$A$5:$A$364,0))</x:f>
        <x:v>Batch 2</x:v>
      </x:c>
    </x:row>
    <x:row r="56">
      <x:c r="A56" s="5" t="n">
        <x:v>53</x:v>
      </x:c>
      <x:c r="B56" s="5" t="inlineStr">
        <x:is>
          <x:t xml:space="preserve">GPO-COD-12</x:t>
        </x:is>
      </x:c>
      <x:c r="C56" s="5" t="inlineStr">
        <x:is>
          <x:t xml:space="preserve">Code &amp; Product Engineering</x:t>
        </x:is>
      </x:c>
      <x:c r="D56" s="5" t="inlineStr">
        <x:is>
          <x:t xml:space="preserve">Expansion 150</x:t>
        </x:is>
      </x:c>
      <x:c r="E56" s="5" t="inlineStr">
        <x:is>
          <x:t xml:space="preserve">Create end-to-end test cases and failure injection scenarios for {workflow}.</x:t>
        </x:is>
      </x:c>
      <x:c r="F56" s="5" t="n">
        <x:v>66</x:v>
      </x:c>
      <x:c r="G56" s="5" t="n">
        <x:v>83</x:v>
      </x:c>
      <x:c r="H56" s="5" t="inlineStr">
        <x:is>
          <x:t xml:space="preserve">Easy</x:t>
        </x:is>
      </x:c>
      <x:c r="I56" s="5">
        <x:f>INDEX('Harness V2'!$AF$5:$AF$364,MATCH(B56,'Harness V2'!$A$5:$A$364,0))</x:f>
        <x:v>73</x:v>
      </x:c>
      <x:c r="J56" s="5" t="str">
        <x:f>INDEX('Harness V2'!$AG$5:$AG$364,MATCH(B56,'Harness V2'!$A$5:$A$364,0))</x:f>
        <x:v>Batch 2</x:v>
      </x:c>
    </x:row>
    <x:row r="57">
      <x:c r="A57" s="5" t="n">
        <x:v>54</x:v>
      </x:c>
      <x:c r="B57" s="5" t="inlineStr">
        <x:is>
          <x:t xml:space="preserve">GPO-SCH-07</x:t>
        </x:is>
      </x:c>
      <x:c r="C57" s="5" t="inlineStr">
        <x:is>
          <x:t xml:space="preserve">Scheduling &amp; Life Operations</x:t>
        </x:is>
      </x:c>
      <x:c r="D57" s="5" t="inlineStr">
        <x:is>
          <x:t xml:space="preserve">Core 150</x:t>
        </x:is>
      </x:c>
      <x:c r="E57" s="5" t="inlineStr">
        <x:is>
          <x:t xml:space="preserve">Build a reminder/checklist workflow so I stop dropping important things.</x:t>
        </x:is>
      </x:c>
      <x:c r="F57" s="5" t="n">
        <x:v>67</x:v>
      </x:c>
      <x:c r="G57" s="5" t="n">
        <x:v>81</x:v>
      </x:c>
      <x:c r="H57" s="5" t="inlineStr">
        <x:is>
          <x:t xml:space="preserve">Easy</x:t>
        </x:is>
      </x:c>
      <x:c r="I57" s="5">
        <x:f>INDEX('Harness V2'!$AF$5:$AF$364,MATCH(B57,'Harness V2'!$A$5:$A$364,0))</x:f>
        <x:v>72</x:v>
      </x:c>
      <x:c r="J57" s="5" t="str">
        <x:f>INDEX('Harness V2'!$AG$5:$AG$364,MATCH(B57,'Harness V2'!$A$5:$A$364,0))</x:f>
        <x:v>Batch 2</x:v>
      </x:c>
    </x:row>
    <x:row r="58">
      <x:c r="A58" s="5" t="n">
        <x:v>55</x:v>
      </x:c>
      <x:c r="B58" s="5" t="inlineStr">
        <x:is>
          <x:t xml:space="preserve">GPO-TRA-03</x:t>
        </x:is>
      </x:c>
      <x:c r="C58" s="5" t="inlineStr">
        <x:is>
          <x:t xml:space="preserve">Travel &amp; Relocation Planner</x:t>
        </x:is>
      </x:c>
      <x:c r="D58" s="5" t="inlineStr">
        <x:is>
          <x:t xml:space="preserve">Core 150</x:t>
        </x:is>
      </x:c>
      <x:c r="E58" s="5" t="inlineStr">
        <x:is>
          <x:t xml:space="preserve">Find the smartest flight/hotel/location strategy for this trip.</x:t>
        </x:is>
      </x:c>
      <x:c r="F58" s="5" t="n">
        <x:v>67</x:v>
      </x:c>
      <x:c r="G58" s="5" t="n">
        <x:v>81</x:v>
      </x:c>
      <x:c r="H58" s="5" t="inlineStr">
        <x:is>
          <x:t xml:space="preserve">Easy</x:t>
        </x:is>
      </x:c>
      <x:c r="I58" s="5">
        <x:f>INDEX('Harness V2'!$AF$5:$AF$364,MATCH(B58,'Harness V2'!$A$5:$A$364,0))</x:f>
        <x:v>72</x:v>
      </x:c>
      <x:c r="J58" s="5" t="str">
        <x:f>INDEX('Harness V2'!$AG$5:$AG$364,MATCH(B58,'Harness V2'!$A$5:$A$364,0))</x:f>
        <x:v>Batch 2</x:v>
      </x:c>
    </x:row>
    <x:row r="59">
      <x:c r="A59" s="5" t="n">
        <x:v>56</x:v>
      </x:c>
      <x:c r="B59" s="5" t="inlineStr">
        <x:is>
          <x:t xml:space="preserve">GPO-SHO-05</x:t>
        </x:is>
      </x:c>
      <x:c r="C59" s="5" t="inlineStr">
        <x:is>
          <x:t xml:space="preserve">Shopping &amp; Buying Advisor</x:t>
        </x:is>
      </x:c>
      <x:c r="D59" s="5" t="inlineStr">
        <x:is>
          <x:t xml:space="preserve">Core 150</x:t>
        </x:is>
      </x:c>
      <x:c r="E59" s="5" t="inlineStr">
        <x:is>
          <x:t xml:space="preserve">Tell me whether this deal is genuinely good or just marketing.</x:t>
        </x:is>
      </x:c>
      <x:c r="F59" s="5" t="n">
        <x:v>66</x:v>
      </x:c>
      <x:c r="G59" s="5" t="n">
        <x:v>82</x:v>
      </x:c>
      <x:c r="H59" s="5" t="inlineStr">
        <x:is>
          <x:t xml:space="preserve">Easy</x:t>
        </x:is>
      </x:c>
      <x:c r="I59" s="5">
        <x:f>INDEX('Harness V2'!$AF$5:$AF$364,MATCH(B59,'Harness V2'!$A$5:$A$364,0))</x:f>
        <x:v>72</x:v>
      </x:c>
      <x:c r="J59" s="5" t="str">
        <x:f>INDEX('Harness V2'!$AG$5:$AG$364,MATCH(B59,'Harness V2'!$A$5:$A$364,0))</x:f>
        <x:v>Batch 2</x:v>
      </x:c>
    </x:row>
    <x:row r="60">
      <x:c r="A60" s="5" t="n">
        <x:v>57</x:v>
      </x:c>
      <x:c r="B60" s="5" t="inlineStr">
        <x:is>
          <x:t xml:space="preserve">GPO-WRI-12</x:t>
        </x:is>
      </x:c>
      <x:c r="C60" s="5" t="inlineStr">
        <x:is>
          <x:t xml:space="preserve">Writing &amp; Documentation</x:t>
        </x:is>
      </x:c>
      <x:c r="D60" s="5" t="inlineStr">
        <x:is>
          <x:t xml:space="preserve">Expansion 150</x:t>
        </x:is>
      </x:c>
      <x:c r="E60" s="5" t="inlineStr">
        <x:is>
          <x:t xml:space="preserve">Edit this resume/LinkedIn summary so it is credible, specific, and high impact.</x:t>
        </x:is>
      </x:c>
      <x:c r="F60" s="5" t="n">
        <x:v>64</x:v>
      </x:c>
      <x:c r="G60" s="5" t="n">
        <x:v>85</x:v>
      </x:c>
      <x:c r="H60" s="5" t="inlineStr">
        <x:is>
          <x:t xml:space="preserve">Easy</x:t>
        </x:is>
      </x:c>
      <x:c r="I60" s="5">
        <x:f>INDEX('Harness V2'!$AF$5:$AF$364,MATCH(B60,'Harness V2'!$A$5:$A$364,0))</x:f>
        <x:v>74</x:v>
      </x:c>
      <x:c r="J60" s="5" t="str">
        <x:f>INDEX('Harness V2'!$AG$5:$AG$364,MATCH(B60,'Harness V2'!$A$5:$A$364,0))</x:f>
        <x:v>Batch 2</x:v>
      </x:c>
    </x:row>
    <x:row r="61">
      <x:c r="A61" s="5" t="n">
        <x:v>58</x:v>
      </x:c>
      <x:c r="B61" s="5" t="inlineStr">
        <x:is>
          <x:t xml:space="preserve">GPO-RES-10</x:t>
        </x:is>
      </x:c>
      <x:c r="C61" s="5" t="inlineStr">
        <x:is>
          <x:t xml:space="preserve">Research &amp; Analysis</x:t>
        </x:is>
      </x:c>
      <x:c r="D61" s="5" t="inlineStr">
        <x:is>
          <x:t xml:space="preserve">Core 150</x:t>
        </x:is>
      </x:c>
      <x:c r="E61" s="5" t="inlineStr">
        <x:is>
          <x:t xml:space="preserve">Find all the likely failure modes in this plan before I commit time or money.</x:t>
        </x:is>
      </x:c>
      <x:c r="F61" s="5" t="n">
        <x:v>66</x:v>
      </x:c>
      <x:c r="G61" s="5" t="n">
        <x:v>81</x:v>
      </x:c>
      <x:c r="H61" s="5" t="inlineStr">
        <x:is>
          <x:t xml:space="preserve">Easy</x:t>
        </x:is>
      </x:c>
      <x:c r="I61" s="5">
        <x:f>INDEX('Harness V2'!$AF$5:$AF$364,MATCH(B61,'Harness V2'!$A$5:$A$364,0))</x:f>
        <x:v>71</x:v>
      </x:c>
      <x:c r="J61" s="5" t="str">
        <x:f>INDEX('Harness V2'!$AG$5:$AG$364,MATCH(B61,'Harness V2'!$A$5:$A$364,0))</x:f>
        <x:v>Batch 2</x:v>
      </x:c>
    </x:row>
    <x:row r="62">
      <x:c r="A62" s="5" t="n">
        <x:v>59</x:v>
      </x:c>
      <x:c r="B62" s="5" t="inlineStr">
        <x:is>
          <x:t xml:space="preserve">GPO-TRA-04</x:t>
        </x:is>
      </x:c>
      <x:c r="C62" s="5" t="inlineStr">
        <x:is>
          <x:t xml:space="preserve">Travel &amp; Relocation Planner</x:t>
        </x:is>
      </x:c>
      <x:c r="D62" s="5" t="inlineStr">
        <x:is>
          <x:t xml:space="preserve">Core 150</x:t>
        </x:is>
      </x:c>
      <x:c r="E62" s="5" t="inlineStr">
        <x:is>
          <x:t xml:space="preserve">Help me compare cities/countries for living, working, or visiting.</x:t>
        </x:is>
      </x:c>
      <x:c r="F62" s="5" t="n">
        <x:v>66</x:v>
      </x:c>
      <x:c r="G62" s="5" t="n">
        <x:v>81</x:v>
      </x:c>
      <x:c r="H62" s="5" t="inlineStr">
        <x:is>
          <x:t xml:space="preserve">Easy</x:t>
        </x:is>
      </x:c>
      <x:c r="I62" s="5">
        <x:f>INDEX('Harness V2'!$AF$5:$AF$364,MATCH(B62,'Harness V2'!$A$5:$A$364,0))</x:f>
        <x:v>72</x:v>
      </x:c>
      <x:c r="J62" s="5" t="str">
        <x:f>INDEX('Harness V2'!$AG$5:$AG$364,MATCH(B62,'Harness V2'!$A$5:$A$364,0))</x:f>
        <x:v>Batch 2</x:v>
      </x:c>
    </x:row>
    <x:row r="63">
      <x:c r="A63" s="5" t="n">
        <x:v>60</x:v>
      </x:c>
      <x:c r="B63" s="5" t="inlineStr">
        <x:is>
          <x:t xml:space="preserve">GPO-CAR-01</x:t>
        </x:is>
      </x:c>
      <x:c r="C63" s="5" t="inlineStr">
        <x:is>
          <x:t xml:space="preserve">Career &amp; Job Search</x:t>
        </x:is>
      </x:c>
      <x:c r="D63" s="5" t="inlineStr">
        <x:is>
          <x:t xml:space="preserve">Core 150</x:t>
        </x:is>
      </x:c>
      <x:c r="E63" s="5" t="inlineStr">
        <x:is>
          <x:t xml:space="preserve">Rewrite my resume for the target role so it is strong, specific, and ATS-aware.</x:t>
        </x:is>
      </x:c>
      <x:c r="F63" s="5" t="n">
        <x:v>64</x:v>
      </x:c>
      <x:c r="G63" s="5" t="n">
        <x:v>84</x:v>
      </x:c>
      <x:c r="H63" s="5" t="inlineStr">
        <x:is>
          <x:t xml:space="preserve">Easy</x:t>
        </x:is>
      </x:c>
      <x:c r="I63" s="5">
        <x:f>INDEX('Harness V2'!$AF$5:$AF$364,MATCH(B63,'Harness V2'!$A$5:$A$364,0))</x:f>
        <x:v>72</x:v>
      </x:c>
      <x:c r="J63" s="5" t="str">
        <x:f>INDEX('Harness V2'!$AG$5:$AG$364,MATCH(B63,'Harness V2'!$A$5:$A$364,0))</x:f>
        <x:v>Batch 2</x:v>
      </x:c>
    </x:row>
    <x:row r="64">
      <x:c r="A64" s="5" t="n">
        <x:v>61</x:v>
      </x:c>
      <x:c r="B64" s="5" t="inlineStr">
        <x:is>
          <x:t xml:space="preserve">GPO-PER-01</x:t>
        </x:is>
      </x:c>
      <x:c r="C64" s="5" t="inlineStr">
        <x:is>
          <x:t xml:space="preserve">Personal Finance &amp; Investing</x:t>
        </x:is>
      </x:c>
      <x:c r="D64" s="5" t="inlineStr">
        <x:is>
          <x:t xml:space="preserve">Core 150</x:t>
        </x:is>
      </x:c>
      <x:c r="E64" s="5" t="inlineStr">
        <x:is>
          <x:t xml:space="preserve">Build a monthly budget that still lets me enjoy life and hit my savings goals.</x:t>
        </x:is>
      </x:c>
      <x:c r="F64" s="5" t="n">
        <x:v>68</x:v>
      </x:c>
      <x:c r="G64" s="5" t="n">
        <x:v>78</x:v>
      </x:c>
      <x:c r="H64" s="5" t="inlineStr">
        <x:is>
          <x:t xml:space="preserve">Easy</x:t>
        </x:is>
      </x:c>
      <x:c r="I64" s="5">
        <x:f>INDEX('Harness V2'!$AF$5:$AF$364,MATCH(B64,'Harness V2'!$A$5:$A$364,0))</x:f>
        <x:v>71</x:v>
      </x:c>
      <x:c r="J64" s="5" t="str">
        <x:f>INDEX('Harness V2'!$AG$5:$AG$364,MATCH(B64,'Harness V2'!$A$5:$A$364,0))</x:f>
        <x:v>Batch 2</x:v>
      </x:c>
    </x:row>
    <x:row r="65">
      <x:c r="A65" s="5" t="n">
        <x:v>62</x:v>
      </x:c>
      <x:c r="B65" s="5" t="inlineStr">
        <x:is>
          <x:t xml:space="preserve">GPO-LEA-10</x:t>
        </x:is>
      </x:c>
      <x:c r="C65" s="5" t="inlineStr">
        <x:is>
          <x:t xml:space="preserve">Learning &amp; Tutoring</x:t>
        </x:is>
      </x:c>
      <x:c r="D65" s="5" t="inlineStr">
        <x:is>
          <x:t xml:space="preserve">Core 150</x:t>
        </x:is>
      </x:c>
      <x:c r="E65" s="5" t="inlineStr">
        <x:is>
          <x:t xml:space="preserve">Make me practice problems for {topic} from easy to brutal.</x:t>
        </x:is>
      </x:c>
      <x:c r="F65" s="5" t="n">
        <x:v>64</x:v>
      </x:c>
      <x:c r="G65" s="5" t="n">
        <x:v>83</x:v>
      </x:c>
      <x:c r="H65" s="5" t="inlineStr">
        <x:is>
          <x:t xml:space="preserve">Easy</x:t>
        </x:is>
      </x:c>
      <x:c r="I65" s="5">
        <x:f>INDEX('Harness V2'!$AF$5:$AF$364,MATCH(B65,'Harness V2'!$A$5:$A$364,0))</x:f>
        <x:v>73</x:v>
      </x:c>
      <x:c r="J65" s="5" t="str">
        <x:f>INDEX('Harness V2'!$AG$5:$AG$364,MATCH(B65,'Harness V2'!$A$5:$A$364,0))</x:f>
        <x:v>Batch 2</x:v>
      </x:c>
    </x:row>
    <x:row r="66">
      <x:c r="A66" s="5" t="n">
        <x:v>63</x:v>
      </x:c>
      <x:c r="B66" s="5" t="inlineStr">
        <x:is>
          <x:t xml:space="preserve">GPO-STA-01</x:t>
        </x:is>
      </x:c>
      <x:c r="C66" s="5" t="inlineStr">
        <x:is>
          <x:t xml:space="preserve">Startup &amp; Business Builder</x:t>
        </x:is>
      </x:c>
      <x:c r="D66" s="5" t="inlineStr">
        <x:is>
          <x:t xml:space="preserve">Core 150</x:t>
        </x:is>
      </x:c>
      <x:c r="E66" s="5" t="inlineStr">
        <x:is>
          <x:t xml:space="preserve">Pressure-test this startup idea for market need, distribution, and durability.</x:t>
        </x:is>
      </x:c>
      <x:c r="F66" s="5" t="n">
        <x:v>66</x:v>
      </x:c>
      <x:c r="G66" s="5" t="n">
        <x:v>80</x:v>
      </x:c>
      <x:c r="H66" s="5" t="inlineStr">
        <x:is>
          <x:t xml:space="preserve">Easy</x:t>
        </x:is>
      </x:c>
      <x:c r="I66" s="5">
        <x:f>INDEX('Harness V2'!$AF$5:$AF$364,MATCH(B66,'Harness V2'!$A$5:$A$364,0))</x:f>
        <x:v>71</x:v>
      </x:c>
      <x:c r="J66" s="5" t="str">
        <x:f>INDEX('Harness V2'!$AG$5:$AG$364,MATCH(B66,'Harness V2'!$A$5:$A$364,0))</x:f>
        <x:v>Batch 2</x:v>
      </x:c>
    </x:row>
    <x:row r="67">
      <x:c r="A67" s="5" t="n">
        <x:v>64</x:v>
      </x:c>
      <x:c r="B67" s="5" t="inlineStr">
        <x:is>
          <x:t xml:space="preserve">GPO-SHO-06</x:t>
        </x:is>
      </x:c>
      <x:c r="C67" s="5" t="inlineStr">
        <x:is>
          <x:t xml:space="preserve">Shopping &amp; Buying Advisor</x:t>
        </x:is>
      </x:c>
      <x:c r="D67" s="5" t="inlineStr">
        <x:is>
          <x:t xml:space="preserve">Core 150</x:t>
        </x:is>
      </x:c>
      <x:c r="E67" s="5" t="inlineStr">
        <x:is>
          <x:t xml:space="preserve">Find the cheapest smart way to buy web app without getting burned.</x:t>
        </x:is>
      </x:c>
      <x:c r="F67" s="5" t="n">
        <x:v>65</x:v>
      </x:c>
      <x:c r="G67" s="5" t="n">
        <x:v>81</x:v>
      </x:c>
      <x:c r="H67" s="5" t="inlineStr">
        <x:is>
          <x:t xml:space="preserve">Easy</x:t>
        </x:is>
      </x:c>
      <x:c r="I67" s="5">
        <x:f>INDEX('Harness V2'!$AF$5:$AF$364,MATCH(B67,'Harness V2'!$A$5:$A$364,0))</x:f>
        <x:v>71</x:v>
      </x:c>
      <x:c r="J67" s="5" t="str">
        <x:f>INDEX('Harness V2'!$AG$5:$AG$364,MATCH(B67,'Harness V2'!$A$5:$A$364,0))</x:f>
        <x:v>Batch 2</x:v>
      </x:c>
    </x:row>
    <x:row r="68">
      <x:c r="A68" s="5" t="n">
        <x:v>65</x:v>
      </x:c>
      <x:c r="B68" s="5" t="inlineStr">
        <x:is>
          <x:t xml:space="preserve">GPO-COD-13</x:t>
        </x:is>
      </x:c>
      <x:c r="C68" s="5" t="inlineStr">
        <x:is>
          <x:t xml:space="preserve">Code &amp; Product Engineering</x:t>
        </x:is>
      </x:c>
      <x:c r="D68" s="5" t="inlineStr">
        <x:is>
          <x:t xml:space="preserve">Expansion 150</x:t>
        </x:is>
      </x:c>
      <x:c r="E68" s="5" t="inlineStr">
        <x:is>
          <x:t xml:space="preserve">Optimize this SQL/Spark/Hive pipeline for cost and runtime without changing output.</x:t>
        </x:is>
      </x:c>
      <x:c r="F68" s="5" t="n">
        <x:v>64</x:v>
      </x:c>
      <x:c r="G68" s="5" t="n">
        <x:v>82</x:v>
      </x:c>
      <x:c r="H68" s="5" t="inlineStr">
        <x:is>
          <x:t xml:space="preserve">Easy</x:t>
        </x:is>
      </x:c>
      <x:c r="I68" s="5">
        <x:f>INDEX('Harness V2'!$AF$5:$AF$364,MATCH(B68,'Harness V2'!$A$5:$A$364,0))</x:f>
        <x:v>72</x:v>
      </x:c>
      <x:c r="J68" s="5" t="str">
        <x:f>INDEX('Harness V2'!$AG$5:$AG$364,MATCH(B68,'Harness V2'!$A$5:$A$364,0))</x:f>
        <x:v>Batch 2</x:v>
      </x:c>
    </x:row>
    <x:row r="69">
      <x:c r="A69" s="5" t="n">
        <x:v>66</x:v>
      </x:c>
      <x:c r="B69" s="5" t="inlineStr">
        <x:is>
          <x:t xml:space="preserve">GPO-SCH-08</x:t>
        </x:is>
      </x:c>
      <x:c r="C69" s="5" t="inlineStr">
        <x:is>
          <x:t xml:space="preserve">Scheduling &amp; Life Operations</x:t>
        </x:is>
      </x:c>
      <x:c r="D69" s="5" t="inlineStr">
        <x:is>
          <x:t xml:space="preserve">Core 150</x:t>
        </x:is>
      </x:c>
      <x:c r="E69" s="5" t="inlineStr">
        <x:is>
          <x:t xml:space="preserve">Take these calendar constraints and find the best time blocks for deep work.</x:t>
        </x:is>
      </x:c>
      <x:c r="F69" s="5" t="n">
        <x:v>65</x:v>
      </x:c>
      <x:c r="G69" s="5" t="n">
        <x:v>80</x:v>
      </x:c>
      <x:c r="H69" s="5" t="inlineStr">
        <x:is>
          <x:t xml:space="preserve">Easy</x:t>
        </x:is>
      </x:c>
      <x:c r="I69" s="5">
        <x:f>INDEX('Harness V2'!$AF$5:$AF$364,MATCH(B69,'Harness V2'!$A$5:$A$364,0))</x:f>
        <x:v>71</x:v>
      </x:c>
      <x:c r="J69" s="5" t="str">
        <x:f>INDEX('Harness V2'!$AG$5:$AG$364,MATCH(B69,'Harness V2'!$A$5:$A$364,0))</x:f>
        <x:v>Batch 2</x:v>
      </x:c>
    </x:row>
    <x:row r="70">
      <x:c r="A70" s="5" t="n">
        <x:v>67</x:v>
      </x:c>
      <x:c r="B70" s="5" t="inlineStr">
        <x:is>
          <x:t xml:space="preserve">GPO-CAR-02</x:t>
        </x:is>
      </x:c>
      <x:c r="C70" s="5" t="inlineStr">
        <x:is>
          <x:t xml:space="preserve">Career &amp; Job Search</x:t>
        </x:is>
      </x:c>
      <x:c r="D70" s="5" t="inlineStr">
        <x:is>
          <x:t xml:space="preserve">Core 150</x:t>
        </x:is>
      </x:c>
      <x:c r="E70" s="5" t="inlineStr">
        <x:is>
          <x:t xml:space="preserve">Tailor my LinkedIn profile so recruiters for this role actually respond.</x:t>
        </x:is>
      </x:c>
      <x:c r="F70" s="5" t="n">
        <x:v>63</x:v>
      </x:c>
      <x:c r="G70" s="5" t="n">
        <x:v>83</x:v>
      </x:c>
      <x:c r="H70" s="5" t="inlineStr">
        <x:is>
          <x:t xml:space="preserve">Easy</x:t>
        </x:is>
      </x:c>
      <x:c r="I70" s="5">
        <x:f>INDEX('Harness V2'!$AF$5:$AF$364,MATCH(B70,'Harness V2'!$A$5:$A$364,0))</x:f>
        <x:v>72</x:v>
      </x:c>
      <x:c r="J70" s="5" t="str">
        <x:f>INDEX('Harness V2'!$AG$5:$AG$364,MATCH(B70,'Harness V2'!$A$5:$A$364,0))</x:f>
        <x:v>Batch 2</x:v>
      </x:c>
    </x:row>
    <x:row r="71">
      <x:c r="A71" s="5" t="n">
        <x:v>68</x:v>
      </x:c>
      <x:c r="B71" s="5" t="inlineStr">
        <x:is>
          <x:t xml:space="preserve">GPO-PER-02</x:t>
        </x:is>
      </x:c>
      <x:c r="C71" s="5" t="inlineStr">
        <x:is>
          <x:t xml:space="preserve">Personal Finance &amp; Investing</x:t>
        </x:is>
      </x:c>
      <x:c r="D71" s="5" t="inlineStr">
        <x:is>
          <x:t xml:space="preserve">Core 150</x:t>
        </x:is>
      </x:c>
      <x:c r="E71" s="5" t="inlineStr">
        <x:is>
          <x:t xml:space="preserve">Create an investing plan for my main goal balancing ETFs, stocks, cash, and risk.</x:t>
        </x:is>
      </x:c>
      <x:c r="F71" s="5" t="n">
        <x:v>67</x:v>
      </x:c>
      <x:c r="G71" s="5" t="n">
        <x:v>77</x:v>
      </x:c>
      <x:c r="H71" s="5" t="inlineStr">
        <x:is>
          <x:t xml:space="preserve">Easy</x:t>
        </x:is>
      </x:c>
      <x:c r="I71" s="5">
        <x:f>INDEX('Harness V2'!$AF$5:$AF$364,MATCH(B71,'Harness V2'!$A$5:$A$364,0))</x:f>
        <x:v>70</x:v>
      </x:c>
      <x:c r="J71" s="5" t="str">
        <x:f>INDEX('Harness V2'!$AG$5:$AG$364,MATCH(B71,'Harness V2'!$A$5:$A$364,0))</x:f>
        <x:v>Batch 2</x:v>
      </x:c>
    </x:row>
    <x:row r="72">
      <x:c r="A72" s="5" t="n">
        <x:v>69</x:v>
      </x:c>
      <x:c r="B72" s="5" t="inlineStr">
        <x:is>
          <x:t xml:space="preserve">GPO-WRI-13</x:t>
        </x:is>
      </x:c>
      <x:c r="C72" s="5" t="inlineStr">
        <x:is>
          <x:t xml:space="preserve">Writing &amp; Documentation</x:t>
        </x:is>
      </x:c>
      <x:c r="D72" s="5" t="inlineStr">
        <x:is>
          <x:t xml:space="preserve">Expansion 150</x:t>
        </x:is>
      </x:c>
      <x:c r="E72" s="5" t="inlineStr">
        <x:is>
          <x:t xml:space="preserve">Write a research-backed blog/newsletter/article on {topic} in my voice.</x:t>
        </x:is>
      </x:c>
      <x:c r="F72" s="5" t="n">
        <x:v>62</x:v>
      </x:c>
      <x:c r="G72" s="5" t="n">
        <x:v>84</x:v>
      </x:c>
      <x:c r="H72" s="5" t="inlineStr">
        <x:is>
          <x:t xml:space="preserve">Easy</x:t>
        </x:is>
      </x:c>
      <x:c r="I72" s="5">
        <x:f>INDEX('Harness V2'!$AF$5:$AF$364,MATCH(B72,'Harness V2'!$A$5:$A$364,0))</x:f>
        <x:v>73</x:v>
      </x:c>
      <x:c r="J72" s="5" t="str">
        <x:f>INDEX('Harness V2'!$AG$5:$AG$364,MATCH(B72,'Harness V2'!$A$5:$A$364,0))</x:f>
        <x:v>Batch 2</x:v>
      </x:c>
    </x:row>
    <x:row r="73">
      <x:c r="A73" s="5" t="n">
        <x:v>70</x:v>
      </x:c>
      <x:c r="B73" s="5" t="inlineStr">
        <x:is>
          <x:t xml:space="preserve">GPO-STA-02</x:t>
        </x:is>
      </x:c>
      <x:c r="C73" s="5" t="inlineStr">
        <x:is>
          <x:t xml:space="preserve">Startup &amp; Business Builder</x:t>
        </x:is>
      </x:c>
      <x:c r="D73" s="5" t="inlineStr">
        <x:is>
          <x:t xml:space="preserve">Core 150</x:t>
        </x:is>
      </x:c>
      <x:c r="E73" s="5" t="inlineStr">
        <x:is>
          <x:t xml:space="preserve">Turn my idea into a real business model with pricing, GTM, and milestones.</x:t>
        </x:is>
      </x:c>
      <x:c r="F73" s="5" t="n">
        <x:v>65</x:v>
      </x:c>
      <x:c r="G73" s="5" t="n">
        <x:v>79</x:v>
      </x:c>
      <x:c r="H73" s="5" t="inlineStr">
        <x:is>
          <x:t xml:space="preserve">Easy</x:t>
        </x:is>
      </x:c>
      <x:c r="I73" s="5">
        <x:f>INDEX('Harness V2'!$AF$5:$AF$364,MATCH(B73,'Harness V2'!$A$5:$A$364,0))</x:f>
        <x:v>70</x:v>
      </x:c>
      <x:c r="J73" s="5" t="str">
        <x:f>INDEX('Harness V2'!$AG$5:$AG$364,MATCH(B73,'Harness V2'!$A$5:$A$364,0))</x:f>
        <x:v>Batch 2</x:v>
      </x:c>
    </x:row>
    <x:row r="74">
      <x:c r="A74" s="5" t="n">
        <x:v>71</x:v>
      </x:c>
      <x:c r="B74" s="5" t="inlineStr">
        <x:is>
          <x:t xml:space="preserve">GPO-RES-11</x:t>
        </x:is>
      </x:c>
      <x:c r="C74" s="5" t="inlineStr">
        <x:is>
          <x:t xml:space="preserve">Research &amp; Analysis</x:t>
        </x:is>
      </x:c>
      <x:c r="D74" s="5" t="inlineStr">
        <x:is>
          <x:t xml:space="preserve">Expansion 150</x:t>
        </x:is>
      </x:c>
      <x:c r="E74" s="5" t="inlineStr">
        <x:is>
          <x:t xml:space="preserve">Research the exact steps, costs, and constraints for the goal.</x:t>
        </x:is>
      </x:c>
      <x:c r="F74" s="5" t="n">
        <x:v>64</x:v>
      </x:c>
      <x:c r="G74" s="5" t="n">
        <x:v>80</x:v>
      </x:c>
      <x:c r="H74" s="5" t="inlineStr">
        <x:is>
          <x:t xml:space="preserve">Easy</x:t>
        </x:is>
      </x:c>
      <x:c r="I74" s="5">
        <x:f>INDEX('Harness V2'!$AF$5:$AF$364,MATCH(B74,'Harness V2'!$A$5:$A$364,0))</x:f>
        <x:v>70</x:v>
      </x:c>
      <x:c r="J74" s="5" t="str">
        <x:f>INDEX('Harness V2'!$AG$5:$AG$364,MATCH(B74,'Harness V2'!$A$5:$A$364,0))</x:f>
        <x:v>Batch 2</x:v>
      </x:c>
    </x:row>
    <x:row r="75">
      <x:c r="A75" s="5" t="n">
        <x:v>72</x:v>
      </x:c>
      <x:c r="B75" s="5" t="inlineStr">
        <x:is>
          <x:t xml:space="preserve">GPO-SCH-09</x:t>
        </x:is>
      </x:c>
      <x:c r="C75" s="5" t="inlineStr">
        <x:is>
          <x:t xml:space="preserve">Scheduling &amp; Life Operations</x:t>
        </x:is>
      </x:c>
      <x:c r="D75" s="5" t="inlineStr">
        <x:is>
          <x:t xml:space="preserve">Core 150</x:t>
        </x:is>
      </x:c>
      <x:c r="E75" s="5" t="inlineStr">
        <x:is>
          <x:t xml:space="preserve">Create a move/visa/life-admin plan with dates, documents, and dependencies.</x:t>
        </x:is>
      </x:c>
      <x:c r="F75" s="5" t="n">
        <x:v>64</x:v>
      </x:c>
      <x:c r="G75" s="5" t="n">
        <x:v>80</x:v>
      </x:c>
      <x:c r="H75" s="5" t="inlineStr">
        <x:is>
          <x:t xml:space="preserve">Easy</x:t>
        </x:is>
      </x:c>
      <x:c r="I75" s="5">
        <x:f>INDEX('Harness V2'!$AF$5:$AF$364,MATCH(B75,'Harness V2'!$A$5:$A$364,0))</x:f>
        <x:v>71</x:v>
      </x:c>
      <x:c r="J75" s="5" t="str">
        <x:f>INDEX('Harness V2'!$AG$5:$AG$364,MATCH(B75,'Harness V2'!$A$5:$A$364,0))</x:f>
        <x:v>Batch 2</x:v>
      </x:c>
    </x:row>
    <x:row r="76">
      <x:c r="A76" s="5" t="n">
        <x:v>73</x:v>
      </x:c>
      <x:c r="B76" s="5" t="inlineStr">
        <x:is>
          <x:t xml:space="preserve">GPO-TRA-05</x:t>
        </x:is>
      </x:c>
      <x:c r="C76" s="5" t="inlineStr">
        <x:is>
          <x:t xml:space="preserve">Travel &amp; Relocation Planner</x:t>
        </x:is>
      </x:c>
      <x:c r="D76" s="5" t="inlineStr">
        <x:is>
          <x:t xml:space="preserve">Core 150</x:t>
        </x:is>
      </x:c>
      <x:c r="E76" s="5" t="inlineStr">
        <x:is>
          <x:t xml:space="preserve">Plan a visa/immigration/document checklist for moving to this place.</x:t>
        </x:is>
      </x:c>
      <x:c r="F76" s="5" t="n">
        <x:v>64</x:v>
      </x:c>
      <x:c r="G76" s="5" t="n">
        <x:v>80</x:v>
      </x:c>
      <x:c r="H76" s="5" t="inlineStr">
        <x:is>
          <x:t xml:space="preserve">Easy</x:t>
        </x:is>
      </x:c>
      <x:c r="I76" s="5">
        <x:f>INDEX('Harness V2'!$AF$5:$AF$364,MATCH(B76,'Harness V2'!$A$5:$A$364,0))</x:f>
        <x:v>70</x:v>
      </x:c>
      <x:c r="J76" s="5" t="str">
        <x:f>INDEX('Harness V2'!$AG$5:$AG$364,MATCH(B76,'Harness V2'!$A$5:$A$364,0))</x:f>
        <x:v>Batch 2</x:v>
      </x:c>
    </x:row>
    <x:row r="77">
      <x:c r="A77" s="5" t="n">
        <x:v>74</x:v>
      </x:c>
      <x:c r="B77" s="5" t="inlineStr">
        <x:is>
          <x:t xml:space="preserve">GPO-WRI-14</x:t>
        </x:is>
      </x:c>
      <x:c r="C77" s="5" t="inlineStr">
        <x:is>
          <x:t xml:space="preserve">Writing &amp; Documentation</x:t>
        </x:is>
      </x:c>
      <x:c r="D77" s="5" t="inlineStr">
        <x:is>
          <x:t xml:space="preserve">Expansion 150</x:t>
        </x:is>
      </x:c>
      <x:c r="E77" s="5" t="inlineStr">
        <x:is>
          <x:t xml:space="preserve">Create a knowledge base article that reduces repetitive support questions about {issue}.</x:t>
        </x:is>
      </x:c>
      <x:c r="F77" s="5" t="n">
        <x:v>61</x:v>
      </x:c>
      <x:c r="G77" s="5" t="n">
        <x:v>84</x:v>
      </x:c>
      <x:c r="H77" s="5" t="inlineStr">
        <x:is>
          <x:t xml:space="preserve">Easy</x:t>
        </x:is>
      </x:c>
      <x:c r="I77" s="5">
        <x:f>INDEX('Harness V2'!$AF$5:$AF$364,MATCH(B77,'Harness V2'!$A$5:$A$364,0))</x:f>
        <x:v>73</x:v>
      </x:c>
      <x:c r="J77" s="5" t="str">
        <x:f>INDEX('Harness V2'!$AG$5:$AG$364,MATCH(B77,'Harness V2'!$A$5:$A$364,0))</x:f>
        <x:v>Batch 2</x:v>
      </x:c>
    </x:row>
    <x:row r="78">
      <x:c r="A78" s="5" t="n">
        <x:v>75</x:v>
      </x:c>
      <x:c r="B78" s="5" t="inlineStr">
        <x:is>
          <x:t xml:space="preserve">GPO-COD-14</x:t>
        </x:is>
      </x:c>
      <x:c r="C78" s="5" t="inlineStr">
        <x:is>
          <x:t xml:space="preserve">Code &amp; Product Engineering</x:t>
        </x:is>
      </x:c>
      <x:c r="D78" s="5" t="inlineStr">
        <x:is>
          <x:t xml:space="preserve">Expansion 150</x:t>
        </x:is>
      </x:c>
      <x:c r="E78" s="5" t="inlineStr">
        <x:is>
          <x:t xml:space="preserve">Convert this Figma/spec into a front end that matches spacing, states, and interactions.</x:t>
        </x:is>
      </x:c>
      <x:c r="F78" s="5" t="n">
        <x:v>62</x:v>
      </x:c>
      <x:c r="G78" s="5" t="n">
        <x:v>82</x:v>
      </x:c>
      <x:c r="H78" s="5" t="inlineStr">
        <x:is>
          <x:t xml:space="preserve">Easy</x:t>
        </x:is>
      </x:c>
      <x:c r="I78" s="5">
        <x:f>INDEX('Harness V2'!$AF$5:$AF$364,MATCH(B78,'Harness V2'!$A$5:$A$364,0))</x:f>
        <x:v>71</x:v>
      </x:c>
      <x:c r="J78" s="5" t="str">
        <x:f>INDEX('Harness V2'!$AG$5:$AG$364,MATCH(B78,'Harness V2'!$A$5:$A$364,0))</x:f>
        <x:v>Batch 2</x:v>
      </x:c>
    </x:row>
    <x:row r="79">
      <x:c r="A79" s="5" t="n">
        <x:v>76</x:v>
      </x:c>
      <x:c r="B79" s="5" t="inlineStr">
        <x:is>
          <x:t xml:space="preserve">GPO-LEA-11</x:t>
        </x:is>
      </x:c>
      <x:c r="C79" s="5" t="inlineStr">
        <x:is>
          <x:t xml:space="preserve">Learning &amp; Tutoring</x:t>
        </x:is>
      </x:c>
      <x:c r="D79" s="5" t="inlineStr">
        <x:is>
          <x:t xml:space="preserve">Expansion 150</x:t>
        </x:is>
      </x:c>
      <x:c r="E79" s="5" t="inlineStr">
        <x:is>
          <x:t xml:space="preserve">Teach me the technical skill in the context of my actual project rather than generic examples.</x:t>
        </x:is>
      </x:c>
      <x:c r="F79" s="5" t="n">
        <x:v>62</x:v>
      </x:c>
      <x:c r="G79" s="5" t="n">
        <x:v>82</x:v>
      </x:c>
      <x:c r="H79" s="5" t="inlineStr">
        <x:is>
          <x:t xml:space="preserve">Easy</x:t>
        </x:is>
      </x:c>
      <x:c r="I79" s="5">
        <x:f>INDEX('Harness V2'!$AF$5:$AF$364,MATCH(B79,'Harness V2'!$A$5:$A$364,0))</x:f>
        <x:v>71</x:v>
      </x:c>
      <x:c r="J79" s="5" t="str">
        <x:f>INDEX('Harness V2'!$AG$5:$AG$364,MATCH(B79,'Harness V2'!$A$5:$A$364,0))</x:f>
        <x:v>Batch 2</x:v>
      </x:c>
    </x:row>
    <x:row r="80">
      <x:c r="A80" s="5" t="n">
        <x:v>77</x:v>
      </x:c>
      <x:c r="B80" s="5" t="inlineStr">
        <x:is>
          <x:t xml:space="preserve">GPO-SHO-07</x:t>
        </x:is>
      </x:c>
      <x:c r="C80" s="5" t="inlineStr">
        <x:is>
          <x:t xml:space="preserve">Shopping &amp; Buying Advisor</x:t>
        </x:is>
      </x:c>
      <x:c r="D80" s="5" t="inlineStr">
        <x:is>
          <x:t xml:space="preserve">Core 150</x:t>
        </x:is>
      </x:c>
      <x:c r="E80" s="5" t="inlineStr">
        <x:is>
          <x:t xml:space="preserve">Recommend a premium setup for my main goal with a good-better-best tiered budget.</x:t>
        </x:is>
      </x:c>
      <x:c r="F80" s="5" t="n">
        <x:v>63</x:v>
      </x:c>
      <x:c r="G80" s="5" t="n">
        <x:v>80</x:v>
      </x:c>
      <x:c r="H80" s="5" t="inlineStr">
        <x:is>
          <x:t xml:space="preserve">Easy</x:t>
        </x:is>
      </x:c>
      <x:c r="I80" s="5">
        <x:f>INDEX('Harness V2'!$AF$5:$AF$364,MATCH(B80,'Harness V2'!$A$5:$A$364,0))</x:f>
        <x:v>70</x:v>
      </x:c>
      <x:c r="J80" s="5" t="str">
        <x:f>INDEX('Harness V2'!$AG$5:$AG$364,MATCH(B80,'Harness V2'!$A$5:$A$364,0))</x:f>
        <x:v>Batch 2</x:v>
      </x:c>
    </x:row>
    <x:row r="81">
      <x:c r="A81" s="5" t="n">
        <x:v>78</x:v>
      </x:c>
      <x:c r="B81" s="5" t="inlineStr">
        <x:is>
          <x:t xml:space="preserve">GPO-TRA-06</x:t>
        </x:is>
      </x:c>
      <x:c r="C81" s="5" t="inlineStr">
        <x:is>
          <x:t xml:space="preserve">Travel &amp; Relocation Planner</x:t>
        </x:is>
      </x:c>
      <x:c r="D81" s="5" t="inlineStr">
        <x:is>
          <x:t xml:space="preserve">Core 150</x:t>
        </x:is>
      </x:c>
      <x:c r="E81" s="5" t="inlineStr">
        <x:is>
          <x:t xml:space="preserve">Create a food, transport, and sightseeing plan optimized for time and money.</x:t>
        </x:is>
      </x:c>
      <x:c r="F81" s="5" t="n">
        <x:v>63</x:v>
      </x:c>
      <x:c r="G81" s="5" t="n">
        <x:v>79</x:v>
      </x:c>
      <x:c r="H81" s="5" t="inlineStr">
        <x:is>
          <x:t xml:space="preserve">Easy</x:t>
        </x:is>
      </x:c>
      <x:c r="I81" s="5">
        <x:f>INDEX('Harness V2'!$AF$5:$AF$364,MATCH(B81,'Harness V2'!$A$5:$A$364,0))</x:f>
        <x:v>70</x:v>
      </x:c>
      <x:c r="J81" s="5" t="str">
        <x:f>INDEX('Harness V2'!$AG$5:$AG$364,MATCH(B81,'Harness V2'!$A$5:$A$364,0))</x:f>
        <x:v>Batch 2</x:v>
      </x:c>
    </x:row>
    <x:row r="82">
      <x:c r="A82" s="5" t="n">
        <x:v>79</x:v>
      </x:c>
      <x:c r="B82" s="5" t="inlineStr">
        <x:is>
          <x:t xml:space="preserve">GPO-CAR-03</x:t>
        </x:is>
      </x:c>
      <x:c r="C82" s="5" t="inlineStr">
        <x:is>
          <x:t xml:space="preserve">Career &amp; Job Search</x:t>
        </x:is>
      </x:c>
      <x:c r="D82" s="5" t="inlineStr">
        <x:is>
          <x:t xml:space="preserve">Core 150</x:t>
        </x:is>
      </x:c>
      <x:c r="E82" s="5" t="inlineStr">
        <x:is>
          <x:t xml:space="preserve">Prepare me for an interview at the company with likely questions and strong answers.</x:t>
        </x:is>
      </x:c>
      <x:c r="F82" s="5" t="n">
        <x:v>61</x:v>
      </x:c>
      <x:c r="G82" s="5" t="n">
        <x:v>82</x:v>
      </x:c>
      <x:c r="H82" s="5" t="inlineStr">
        <x:is>
          <x:t xml:space="preserve">Easy</x:t>
        </x:is>
      </x:c>
      <x:c r="I82" s="5">
        <x:f>INDEX('Harness V2'!$AF$5:$AF$364,MATCH(B82,'Harness V2'!$A$5:$A$364,0))</x:f>
        <x:v>70</x:v>
      </x:c>
      <x:c r="J82" s="5" t="str">
        <x:f>INDEX('Harness V2'!$AG$5:$AG$364,MATCH(B82,'Harness V2'!$A$5:$A$364,0))</x:f>
        <x:v>Batch 2</x:v>
      </x:c>
    </x:row>
    <x:row r="83">
      <x:c r="A83" s="5" t="n">
        <x:v>80</x:v>
      </x:c>
      <x:c r="B83" s="5" t="inlineStr">
        <x:is>
          <x:t xml:space="preserve">GPO-PER-03</x:t>
        </x:is>
      </x:c>
      <x:c r="C83" s="5" t="inlineStr">
        <x:is>
          <x:t xml:space="preserve">Personal Finance &amp; Investing</x:t>
        </x:is>
      </x:c>
      <x:c r="D83" s="5" t="inlineStr">
        <x:is>
          <x:t xml:space="preserve">Core 150</x:t>
        </x:is>
      </x:c>
      <x:c r="E83" s="5" t="inlineStr">
        <x:is>
          <x:t xml:space="preserve">Help me decide whether to pay down debt, invest, or hold cash right now.</x:t>
        </x:is>
      </x:c>
      <x:c r="F83" s="5" t="n">
        <x:v>65</x:v>
      </x:c>
      <x:c r="G83" s="5" t="n">
        <x:v>76</x:v>
      </x:c>
      <x:c r="H83" s="5" t="inlineStr">
        <x:is>
          <x:t xml:space="preserve">Easy</x:t>
        </x:is>
      </x:c>
      <x:c r="I83" s="5">
        <x:f>INDEX('Harness V2'!$AF$5:$AF$364,MATCH(B83,'Harness V2'!$A$5:$A$364,0))</x:f>
        <x:v>69</x:v>
      </x:c>
      <x:c r="J83" s="5" t="str">
        <x:f>INDEX('Harness V2'!$AG$5:$AG$364,MATCH(B83,'Harness V2'!$A$5:$A$364,0))</x:f>
        <x:v>Batch 3</x:v>
      </x:c>
    </x:row>
    <x:row r="84">
      <x:c r="A84" s="5" t="n">
        <x:v>81</x:v>
      </x:c>
      <x:c r="B84" s="5" t="inlineStr">
        <x:is>
          <x:t xml:space="preserve">GPO-STA-03</x:t>
        </x:is>
      </x:c>
      <x:c r="C84" s="5" t="inlineStr">
        <x:is>
          <x:t xml:space="preserve">Startup &amp; Business Builder</x:t>
        </x:is>
      </x:c>
      <x:c r="D84" s="5" t="inlineStr">
        <x:is>
          <x:t xml:space="preserve">Core 150</x:t>
        </x:is>
      </x:c>
      <x:c r="E84" s="5" t="inlineStr">
        <x:is>
          <x:t xml:space="preserve">Tell me whether this business has moat or is just another commodity wrapper.</x:t>
        </x:is>
      </x:c>
      <x:c r="F84" s="5" t="n">
        <x:v>63</x:v>
      </x:c>
      <x:c r="G84" s="5" t="n">
        <x:v>78</x:v>
      </x:c>
      <x:c r="H84" s="5" t="inlineStr">
        <x:is>
          <x:t xml:space="preserve">Easy</x:t>
        </x:is>
      </x:c>
      <x:c r="I84" s="5">
        <x:f>INDEX('Harness V2'!$AF$5:$AF$364,MATCH(B84,'Harness V2'!$A$5:$A$364,0))</x:f>
        <x:v>69</x:v>
      </x:c>
      <x:c r="J84" s="5" t="str">
        <x:f>INDEX('Harness V2'!$AG$5:$AG$364,MATCH(B84,'Harness V2'!$A$5:$A$364,0))</x:f>
        <x:v>Batch 3</x:v>
      </x:c>
    </x:row>
    <x:row r="85">
      <x:c r="A85" s="5" t="n">
        <x:v>82</x:v>
      </x:c>
      <x:c r="B85" s="5" t="inlineStr">
        <x:is>
          <x:t xml:space="preserve">GPO-LEA-12</x:t>
        </x:is>
      </x:c>
      <x:c r="C85" s="5" t="inlineStr">
        <x:is>
          <x:t xml:space="preserve">Learning &amp; Tutoring</x:t>
        </x:is>
      </x:c>
      <x:c r="D85" s="5" t="inlineStr">
        <x:is>
          <x:t xml:space="preserve">Expansion 150</x:t>
        </x:is>
      </x:c>
      <x:c r="E85" s="5" t="inlineStr">
        <x:is>
          <x:t xml:space="preserve">Act like a strict interviewer/oral examiner and test my understanding of the subject.</x:t>
        </x:is>
      </x:c>
      <x:c r="F85" s="5" t="n">
        <x:v>61</x:v>
      </x:c>
      <x:c r="G85" s="5" t="n">
        <x:v>81</x:v>
      </x:c>
      <x:c r="H85" s="5" t="inlineStr">
        <x:is>
          <x:t xml:space="preserve">Easy</x:t>
        </x:is>
      </x:c>
      <x:c r="I85" s="5">
        <x:f>INDEX('Harness V2'!$AF$5:$AF$364,MATCH(B85,'Harness V2'!$A$5:$A$364,0))</x:f>
        <x:v>71</x:v>
      </x:c>
      <x:c r="J85" s="5" t="str">
        <x:f>INDEX('Harness V2'!$AG$5:$AG$364,MATCH(B85,'Harness V2'!$A$5:$A$364,0))</x:f>
        <x:v>Batch 2</x:v>
      </x:c>
    </x:row>
    <x:row r="86">
      <x:c r="A86" s="5" t="n">
        <x:v>83</x:v>
      </x:c>
      <x:c r="B86" s="5" t="inlineStr">
        <x:is>
          <x:t xml:space="preserve">GPO-RES-12</x:t>
        </x:is>
      </x:c>
      <x:c r="C86" s="5" t="inlineStr">
        <x:is>
          <x:t xml:space="preserve">Research &amp; Analysis</x:t>
        </x:is>
      </x:c>
      <x:c r="D86" s="5" t="inlineStr">
        <x:is>
          <x:t xml:space="preserve">Expansion 150</x:t>
        </x:is>
      </x:c>
      <x:c r="E86" s="5" t="inlineStr">
        <x:is>
          <x:t xml:space="preserve">Monitor what changed recently about {topic} and summarize only the meaningful changes.</x:t>
        </x:is>
      </x:c>
      <x:c r="F86" s="5" t="n">
        <x:v>62</x:v>
      </x:c>
      <x:c r="G86" s="5" t="n">
        <x:v>79</x:v>
      </x:c>
      <x:c r="H86" s="5" t="inlineStr">
        <x:is>
          <x:t xml:space="preserve">Easy</x:t>
        </x:is>
      </x:c>
      <x:c r="I86" s="5">
        <x:f>INDEX('Harness V2'!$AF$5:$AF$364,MATCH(B86,'Harness V2'!$A$5:$A$364,0))</x:f>
        <x:v>69</x:v>
      </x:c>
      <x:c r="J86" s="5" t="str">
        <x:f>INDEX('Harness V2'!$AG$5:$AG$364,MATCH(B86,'Harness V2'!$A$5:$A$364,0))</x:f>
        <x:v>Batch 3</x:v>
      </x:c>
    </x:row>
    <x:row r="87">
      <x:c r="A87" s="5" t="n">
        <x:v>84</x:v>
      </x:c>
      <x:c r="B87" s="5" t="inlineStr">
        <x:is>
          <x:t xml:space="preserve">GPO-SCH-10</x:t>
        </x:is>
      </x:c>
      <x:c r="C87" s="5" t="inlineStr">
        <x:is>
          <x:t xml:space="preserve">Scheduling &amp; Life Operations</x:t>
        </x:is>
      </x:c>
      <x:c r="D87" s="5" t="inlineStr">
        <x:is>
          <x:t xml:space="preserve">Core 150</x:t>
        </x:is>
      </x:c>
      <x:c r="E87" s="5" t="inlineStr">
        <x:is>
          <x:t xml:space="preserve">Help me prepare for a busy week with meals, workouts, work blocks, and errands.</x:t>
        </x:is>
      </x:c>
      <x:c r="F87" s="5" t="n">
        <x:v>62</x:v>
      </x:c>
      <x:c r="G87" s="5" t="n">
        <x:v>79</x:v>
      </x:c>
      <x:c r="H87" s="5" t="inlineStr">
        <x:is>
          <x:t xml:space="preserve">Easy</x:t>
        </x:is>
      </x:c>
      <x:c r="I87" s="5">
        <x:f>INDEX('Harness V2'!$AF$5:$AF$364,MATCH(B87,'Harness V2'!$A$5:$A$364,0))</x:f>
        <x:v>70</x:v>
      </x:c>
      <x:c r="J87" s="5" t="str">
        <x:f>INDEX('Harness V2'!$AG$5:$AG$364,MATCH(B87,'Harness V2'!$A$5:$A$364,0))</x:f>
        <x:v>Batch 2</x:v>
      </x:c>
    </x:row>
    <x:row r="88">
      <x:c r="A88" s="5" t="n">
        <x:v>85</x:v>
      </x:c>
      <x:c r="B88" s="5" t="inlineStr">
        <x:is>
          <x:t xml:space="preserve">GPO-SHO-08</x:t>
        </x:is>
      </x:c>
      <x:c r="C88" s="5" t="inlineStr">
        <x:is>
          <x:t xml:space="preserve">Shopping &amp; Buying Advisor</x:t>
        </x:is>
      </x:c>
      <x:c r="D88" s="5" t="inlineStr">
        <x:is>
          <x:t xml:space="preserve">Core 150</x:t>
        </x:is>
      </x:c>
      <x:c r="E88" s="5" t="inlineStr">
        <x:is>
          <x:t xml:space="preserve">Summarize the real user complaints about this product before I buy.</x:t>
        </x:is>
      </x:c>
      <x:c r="F88" s="5" t="n">
        <x:v>62</x:v>
      </x:c>
      <x:c r="G88" s="5" t="n">
        <x:v>79</x:v>
      </x:c>
      <x:c r="H88" s="5" t="inlineStr">
        <x:is>
          <x:t xml:space="preserve">Easy</x:t>
        </x:is>
      </x:c>
      <x:c r="I88" s="5">
        <x:f>INDEX('Harness V2'!$AF$5:$AF$364,MATCH(B88,'Harness V2'!$A$5:$A$364,0))</x:f>
        <x:v>69</x:v>
      </x:c>
      <x:c r="J88" s="5" t="str">
        <x:f>INDEX('Harness V2'!$AG$5:$AG$364,MATCH(B88,'Harness V2'!$A$5:$A$364,0))</x:f>
        <x:v>Batch 3</x:v>
      </x:c>
    </x:row>
    <x:row r="89">
      <x:c r="A89" s="5" t="n">
        <x:v>86</x:v>
      </x:c>
      <x:c r="B89" s="5" t="inlineStr">
        <x:is>
          <x:t xml:space="preserve">GPO-CAR-04</x:t>
        </x:is>
      </x:c>
      <x:c r="C89" s="5" t="inlineStr">
        <x:is>
          <x:t xml:space="preserve">Career &amp; Job Search</x:t>
        </x:is>
      </x:c>
      <x:c r="D89" s="5" t="inlineStr">
        <x:is>
          <x:t xml:space="preserve">Core 150</x:t>
        </x:is>
      </x:c>
      <x:c r="E89" s="5" t="inlineStr">
        <x:is>
          <x:t xml:space="preserve">Tell me what roles I should realistically target next based on my background.</x:t>
        </x:is>
      </x:c>
      <x:c r="F89" s="5" t="n">
        <x:v>60</x:v>
      </x:c>
      <x:c r="G89" s="5" t="n">
        <x:v>82</x:v>
      </x:c>
      <x:c r="H89" s="5" t="inlineStr">
        <x:is>
          <x:t xml:space="preserve">Easy</x:t>
        </x:is>
      </x:c>
      <x:c r="I89" s="5">
        <x:f>INDEX('Harness V2'!$AF$5:$AF$364,MATCH(B89,'Harness V2'!$A$5:$A$364,0))</x:f>
        <x:v>70</x:v>
      </x:c>
      <x:c r="J89" s="5" t="str">
        <x:f>INDEX('Harness V2'!$AG$5:$AG$364,MATCH(B89,'Harness V2'!$A$5:$A$364,0))</x:f>
        <x:v>Batch 2</x:v>
      </x:c>
    </x:row>
    <x:row r="90">
      <x:c r="A90" s="5" t="n">
        <x:v>87</x:v>
      </x:c>
      <x:c r="B90" s="5" t="inlineStr">
        <x:is>
          <x:t xml:space="preserve">GPO-HEA-01</x:t>
        </x:is>
      </x:c>
      <x:c r="C90" s="5" t="inlineStr">
        <x:is>
          <x:t xml:space="preserve">Health &amp; Wellness Coach</x:t>
        </x:is>
      </x:c>
      <x:c r="D90" s="5" t="inlineStr">
        <x:is>
          <x:t xml:space="preserve">Core 150</x:t>
        </x:is>
      </x:c>
      <x:c r="E90" s="5" t="inlineStr">
        <x:is>
          <x:t xml:space="preserve">Help me understand what might be causing this symptom and what should make me seek urgent care.</x:t>
        </x:is>
      </x:c>
      <x:c r="F90" s="5" t="n">
        <x:v>74</x:v>
      </x:c>
      <x:c r="G90" s="5" t="n">
        <x:v>62</x:v>
      </x:c>
      <x:c r="H90" s="5" t="inlineStr">
        <x:is>
          <x:t xml:space="preserve">Medium</x:t>
        </x:is>
      </x:c>
      <x:c r="I90" s="5">
        <x:f>INDEX('Harness V2'!$AF$5:$AF$364,MATCH(B90,'Harness V2'!$A$5:$A$364,0))</x:f>
        <x:v>66</x:v>
      </x:c>
      <x:c r="J90" s="5" t="str">
        <x:f>INDEX('Harness V2'!$AG$5:$AG$364,MATCH(B90,'Harness V2'!$A$5:$A$364,0))</x:f>
        <x:v>Batch 3</x:v>
      </x:c>
    </x:row>
    <x:row r="91">
      <x:c r="A91" s="5" t="n">
        <x:v>88</x:v>
      </x:c>
      <x:c r="B91" s="5" t="inlineStr">
        <x:is>
          <x:t xml:space="preserve">GPO-WRI-15</x:t>
        </x:is>
      </x:c>
      <x:c r="C91" s="5" t="inlineStr">
        <x:is>
          <x:t xml:space="preserve">Writing &amp; Documentation</x:t>
        </x:is>
      </x:c>
      <x:c r="D91" s="5" t="inlineStr">
        <x:is>
          <x:t xml:space="preserve">Expansion 150</x:t>
        </x:is>
      </x:c>
      <x:c r="E91" s="5" t="inlineStr">
        <x:is>
          <x:t xml:space="preserve">Write investor-ready messaging for the product without hype or fluff.</x:t>
        </x:is>
      </x:c>
      <x:c r="F91" s="5" t="n">
        <x:v>59</x:v>
      </x:c>
      <x:c r="G91" s="5" t="n">
        <x:v>83</x:v>
      </x:c>
      <x:c r="H91" s="5" t="inlineStr">
        <x:is>
          <x:t xml:space="preserve">Easy</x:t>
        </x:is>
      </x:c>
      <x:c r="I91" s="5">
        <x:f>INDEX('Harness V2'!$AF$5:$AF$364,MATCH(B91,'Harness V2'!$A$5:$A$364,0))</x:f>
        <x:v>71</x:v>
      </x:c>
      <x:c r="J91" s="5" t="str">
        <x:f>INDEX('Harness V2'!$AG$5:$AG$364,MATCH(B91,'Harness V2'!$A$5:$A$364,0))</x:f>
        <x:v>Batch 2</x:v>
      </x:c>
    </x:row>
    <x:row r="92">
      <x:c r="A92" s="5" t="n">
        <x:v>89</x:v>
      </x:c>
      <x:c r="B92" s="5" t="inlineStr">
        <x:is>
          <x:t xml:space="preserve">GPO-PER-04</x:t>
        </x:is>
      </x:c>
      <x:c r="C92" s="5" t="inlineStr">
        <x:is>
          <x:t xml:space="preserve">Personal Finance &amp; Investing</x:t>
        </x:is>
      </x:c>
      <x:c r="D92" s="5" t="inlineStr">
        <x:is>
          <x:t xml:space="preserve">Core 150</x:t>
        </x:is>
      </x:c>
      <x:c r="E92" s="5" t="inlineStr">
        <x:is>
          <x:t xml:space="preserve">Model how long it takes to reach my savings goal under different scenarios.</x:t>
        </x:is>
      </x:c>
      <x:c r="F92" s="5" t="n">
        <x:v>64</x:v>
      </x:c>
      <x:c r="G92" s="5" t="n">
        <x:v>76</x:v>
      </x:c>
      <x:c r="H92" s="5" t="inlineStr">
        <x:is>
          <x:t xml:space="preserve">Easy</x:t>
        </x:is>
      </x:c>
      <x:c r="I92" s="5">
        <x:f>INDEX('Harness V2'!$AF$5:$AF$364,MATCH(B92,'Harness V2'!$A$5:$A$364,0))</x:f>
        <x:v>69</x:v>
      </x:c>
      <x:c r="J92" s="5" t="str">
        <x:f>INDEX('Harness V2'!$AG$5:$AG$364,MATCH(B92,'Harness V2'!$A$5:$A$364,0))</x:f>
        <x:v>Batch 3</x:v>
      </x:c>
    </x:row>
    <x:row r="93">
      <x:c r="A93" s="5" t="n">
        <x:v>90</x:v>
      </x:c>
      <x:c r="B93" s="5" t="inlineStr">
        <x:is>
          <x:t xml:space="preserve">GPO-COD-15</x:t>
        </x:is>
      </x:c>
      <x:c r="C93" s="5" t="inlineStr">
        <x:is>
          <x:t xml:space="preserve">Code &amp; Product Engineering</x:t>
        </x:is>
      </x:c>
      <x:c r="D93" s="5" t="inlineStr">
        <x:is>
          <x:t xml:space="preserve">Expansion 150</x:t>
        </x:is>
      </x:c>
      <x:c r="E93" s="5" t="inlineStr">
        <x:is>
          <x:t xml:space="preserve">Write a code generation prompt/system for another AI builder so it produces cleaner output.</x:t>
        </x:is>
      </x:c>
      <x:c r="F93" s="5" t="n">
        <x:v>60</x:v>
      </x:c>
      <x:c r="G93" s="5" t="n">
        <x:v>81</x:v>
      </x:c>
      <x:c r="H93" s="5" t="inlineStr">
        <x:is>
          <x:t xml:space="preserve">Easy</x:t>
        </x:is>
      </x:c>
      <x:c r="I93" s="5">
        <x:f>INDEX('Harness V2'!$AF$5:$AF$364,MATCH(B93,'Harness V2'!$A$5:$A$364,0))</x:f>
        <x:v>70</x:v>
      </x:c>
      <x:c r="J93" s="5" t="str">
        <x:f>INDEX('Harness V2'!$AG$5:$AG$364,MATCH(B93,'Harness V2'!$A$5:$A$364,0))</x:f>
        <x:v>Batch 2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674ab7968ab4656"/>
  </x:tableParts>
</x:worksheet>
</file>